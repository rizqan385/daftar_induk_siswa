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ThisWorkbook"/>
  <bookViews>
    <workbookView xWindow="-120" yWindow="-120" windowWidth="20730" windowHeight="11160" tabRatio="791" activeTab="1"/>
  </bookViews>
  <sheets>
    <sheet name="RAPORT XIIAKL " sheetId="1" r:id="rId1"/>
    <sheet name="LEGGER XII AKL" sheetId="8" r:id="rId2"/>
    <sheet name="CATATAN WALAS" sheetId="11" r:id="rId3"/>
    <sheet name="PKL" sheetId="6" state="hidden" r:id="rId4"/>
    <sheet name="EKSKUL" sheetId="9" r:id="rId5"/>
    <sheet name="DESKRIPSI" sheetId="4" r:id="rId6"/>
    <sheet name="PRESTASI" sheetId="10" state="hidden" r:id="rId7"/>
  </sheets>
  <definedNames>
    <definedName name="_xlnm.Print_Area" localSheetId="0">'RAPORT XIIAKL '!$B$3:$J$81</definedName>
  </definedNames>
  <calcPr calcId="144525"/>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V46" i="8" l="1"/>
  <c r="AV45" i="8"/>
  <c r="AV44" i="8"/>
  <c r="AV43" i="8"/>
  <c r="AV42" i="8"/>
  <c r="AV41" i="8"/>
  <c r="AV40" i="8"/>
  <c r="AV39" i="8"/>
  <c r="AV38" i="8"/>
  <c r="AV37" i="8"/>
  <c r="AV36" i="8"/>
  <c r="AV35" i="8"/>
  <c r="AV34" i="8"/>
  <c r="AV33" i="8"/>
  <c r="AV32" i="8"/>
  <c r="AV31" i="8"/>
  <c r="AV30" i="8"/>
  <c r="AV29" i="8"/>
  <c r="AV28" i="8"/>
  <c r="AV27" i="8"/>
  <c r="AV26" i="8"/>
  <c r="AV25" i="8"/>
  <c r="AV24" i="8"/>
  <c r="AV23" i="8"/>
  <c r="AV22" i="8"/>
  <c r="AV21" i="8"/>
  <c r="AV20" i="8"/>
  <c r="AV19" i="8"/>
  <c r="AV18" i="8"/>
  <c r="AV17" i="8"/>
  <c r="AV16" i="8"/>
  <c r="AV15" i="8"/>
  <c r="BK16" i="8"/>
  <c r="BK17" i="8"/>
  <c r="BK18" i="8"/>
  <c r="BK19" i="8"/>
  <c r="BK20" i="8"/>
  <c r="BK21" i="8"/>
  <c r="BK22" i="8"/>
  <c r="BK23" i="8"/>
  <c r="BK24" i="8"/>
  <c r="BK25" i="8"/>
  <c r="BK26" i="8"/>
  <c r="BK27" i="8"/>
  <c r="BK28" i="8"/>
  <c r="BK29" i="8"/>
  <c r="BK30" i="8"/>
  <c r="BK31" i="8"/>
  <c r="BK32" i="8"/>
  <c r="BK33" i="8"/>
  <c r="BK34" i="8"/>
  <c r="BK35" i="8"/>
  <c r="BK36" i="8"/>
  <c r="BK37" i="8"/>
  <c r="BK38" i="8"/>
  <c r="BK39" i="8"/>
  <c r="BK40" i="8"/>
  <c r="BK41" i="8"/>
  <c r="BK42" i="8"/>
  <c r="BK43" i="8"/>
  <c r="BK44" i="8"/>
  <c r="BK45" i="8"/>
  <c r="BK46" i="8"/>
  <c r="BK47" i="8"/>
  <c r="BK48" i="8"/>
  <c r="BK49" i="8"/>
  <c r="BK50" i="8"/>
  <c r="BK51" i="8"/>
  <c r="BK52" i="8"/>
  <c r="BK53" i="8"/>
  <c r="BK54" i="8"/>
  <c r="BK55" i="8"/>
  <c r="BK56" i="8"/>
  <c r="BK57" i="8"/>
  <c r="BK58" i="8"/>
  <c r="BK59" i="8"/>
  <c r="BF16" i="8"/>
  <c r="BF17" i="8"/>
  <c r="BF18" i="8"/>
  <c r="BF19" i="8"/>
  <c r="BF20" i="8"/>
  <c r="BF21" i="8"/>
  <c r="BF22" i="8"/>
  <c r="BF23" i="8"/>
  <c r="BF24" i="8"/>
  <c r="BF25" i="8"/>
  <c r="BF26" i="8"/>
  <c r="BF27" i="8"/>
  <c r="BF28" i="8"/>
  <c r="BF29" i="8"/>
  <c r="BF30" i="8"/>
  <c r="BF31" i="8"/>
  <c r="BF32" i="8"/>
  <c r="BF33" i="8"/>
  <c r="BF34" i="8"/>
  <c r="BF35" i="8"/>
  <c r="BF36" i="8"/>
  <c r="BF37" i="8"/>
  <c r="BF38" i="8"/>
  <c r="BF39" i="8"/>
  <c r="BF40" i="8"/>
  <c r="BF41" i="8"/>
  <c r="BF42" i="8"/>
  <c r="BF43" i="8"/>
  <c r="BF44" i="8"/>
  <c r="BF45" i="8"/>
  <c r="BF46" i="8"/>
  <c r="BF47" i="8"/>
  <c r="BF48" i="8"/>
  <c r="BF49" i="8"/>
  <c r="BF50" i="8"/>
  <c r="BF51" i="8"/>
  <c r="BF52" i="8"/>
  <c r="BF53" i="8"/>
  <c r="BF54" i="8"/>
  <c r="BF55" i="8"/>
  <c r="BF56" i="8"/>
  <c r="BF57" i="8"/>
  <c r="BF58" i="8"/>
  <c r="BF59" i="8"/>
  <c r="BA16" i="8"/>
  <c r="BA17" i="8"/>
  <c r="BA18" i="8"/>
  <c r="BA19" i="8"/>
  <c r="BA20" i="8"/>
  <c r="BA21" i="8"/>
  <c r="BA22" i="8"/>
  <c r="BA23" i="8"/>
  <c r="BA24" i="8"/>
  <c r="BA25" i="8"/>
  <c r="BA26" i="8"/>
  <c r="BA27" i="8"/>
  <c r="BA28" i="8"/>
  <c r="BA29" i="8"/>
  <c r="BA30" i="8"/>
  <c r="BA31" i="8"/>
  <c r="BA32" i="8"/>
  <c r="BA33" i="8"/>
  <c r="BA34" i="8"/>
  <c r="BA35" i="8"/>
  <c r="BA36" i="8"/>
  <c r="BA37" i="8"/>
  <c r="BA38" i="8"/>
  <c r="BA39" i="8"/>
  <c r="BA40" i="8"/>
  <c r="BA41" i="8"/>
  <c r="BA42" i="8"/>
  <c r="BA43" i="8"/>
  <c r="BA44" i="8"/>
  <c r="BA45" i="8"/>
  <c r="BA46" i="8"/>
  <c r="BA47" i="8"/>
  <c r="BA48" i="8"/>
  <c r="BA49" i="8"/>
  <c r="BA50" i="8"/>
  <c r="BA51" i="8"/>
  <c r="BA52" i="8"/>
  <c r="BA53" i="8"/>
  <c r="BA54" i="8"/>
  <c r="BA55" i="8"/>
  <c r="BA56" i="8"/>
  <c r="BA57" i="8"/>
  <c r="BA58" i="8"/>
  <c r="BA59" i="8"/>
  <c r="AV47" i="8"/>
  <c r="AV48" i="8"/>
  <c r="AV49" i="8"/>
  <c r="AV50" i="8"/>
  <c r="AV51" i="8"/>
  <c r="AV52" i="8"/>
  <c r="AV53" i="8"/>
  <c r="AV54" i="8"/>
  <c r="AV55" i="8"/>
  <c r="AV56" i="8"/>
  <c r="AV57" i="8"/>
  <c r="AV58" i="8"/>
  <c r="AV59" i="8"/>
  <c r="AQ16" i="8"/>
  <c r="AQ17" i="8"/>
  <c r="AQ18" i="8"/>
  <c r="AQ19" i="8"/>
  <c r="AQ20" i="8"/>
  <c r="AQ21" i="8"/>
  <c r="AQ22" i="8"/>
  <c r="AQ23" i="8"/>
  <c r="AQ24" i="8"/>
  <c r="AQ25" i="8"/>
  <c r="AQ26" i="8"/>
  <c r="AQ27" i="8"/>
  <c r="AQ28" i="8"/>
  <c r="AQ29" i="8"/>
  <c r="AQ30" i="8"/>
  <c r="AQ31" i="8"/>
  <c r="AQ32" i="8"/>
  <c r="AQ33" i="8"/>
  <c r="AQ34" i="8"/>
  <c r="AQ35" i="8"/>
  <c r="AQ36" i="8"/>
  <c r="AQ37" i="8"/>
  <c r="AQ38" i="8"/>
  <c r="AQ39" i="8"/>
  <c r="AQ40" i="8"/>
  <c r="AQ41" i="8"/>
  <c r="AQ42" i="8"/>
  <c r="AQ43" i="8"/>
  <c r="AQ44" i="8"/>
  <c r="AQ45" i="8"/>
  <c r="AQ46" i="8"/>
  <c r="AQ47" i="8"/>
  <c r="AQ48" i="8"/>
  <c r="AQ49" i="8"/>
  <c r="AQ50" i="8"/>
  <c r="AQ51" i="8"/>
  <c r="AQ52" i="8"/>
  <c r="AQ53" i="8"/>
  <c r="AQ54" i="8"/>
  <c r="AQ55" i="8"/>
  <c r="AQ56" i="8"/>
  <c r="AQ57" i="8"/>
  <c r="AQ58" i="8"/>
  <c r="AQ59" i="8"/>
  <c r="BK15" i="8"/>
  <c r="BF15" i="8"/>
  <c r="BA15" i="8"/>
  <c r="AQ15" i="8"/>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45" i="8"/>
  <c r="AL46" i="8"/>
  <c r="AL47" i="8"/>
  <c r="AL48" i="8"/>
  <c r="AL49" i="8"/>
  <c r="AL50" i="8"/>
  <c r="AL51" i="8"/>
  <c r="AL52" i="8"/>
  <c r="AL53" i="8"/>
  <c r="AL54" i="8"/>
  <c r="AL55" i="8"/>
  <c r="AL56" i="8"/>
  <c r="AL57" i="8"/>
  <c r="AL58" i="8"/>
  <c r="AL59" i="8"/>
  <c r="AL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15" i="8"/>
  <c r="H18"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7" i="8"/>
  <c r="H16" i="8"/>
  <c r="H15" i="8"/>
  <c r="G39" i="1" l="1"/>
  <c r="B16" i="11"/>
  <c r="C16" i="11"/>
  <c r="B17" i="11"/>
  <c r="C17" i="11"/>
  <c r="B18" i="11"/>
  <c r="C18" i="11"/>
  <c r="B19" i="11"/>
  <c r="C19" i="11"/>
  <c r="B20" i="11"/>
  <c r="C20" i="11"/>
  <c r="B21" i="11"/>
  <c r="C21" i="11"/>
  <c r="B22" i="11"/>
  <c r="C22" i="11"/>
  <c r="B23" i="11"/>
  <c r="C23" i="11"/>
  <c r="B24" i="11"/>
  <c r="C24" i="11"/>
  <c r="B25" i="11"/>
  <c r="C25" i="11"/>
  <c r="B26" i="11"/>
  <c r="C26" i="11"/>
  <c r="B27" i="11"/>
  <c r="C27" i="11"/>
  <c r="B28" i="11"/>
  <c r="C28" i="11"/>
  <c r="B29" i="11"/>
  <c r="C29" i="11"/>
  <c r="B30" i="11"/>
  <c r="C30" i="11"/>
  <c r="B31" i="11"/>
  <c r="C31" i="11"/>
  <c r="B32" i="11"/>
  <c r="C32" i="11"/>
  <c r="B33" i="11"/>
  <c r="C33" i="11"/>
  <c r="B34" i="11"/>
  <c r="C34" i="11"/>
  <c r="B35" i="11"/>
  <c r="C35" i="11"/>
  <c r="B36" i="11"/>
  <c r="C36" i="11"/>
  <c r="B37" i="11"/>
  <c r="C37" i="11"/>
  <c r="B38" i="11"/>
  <c r="C38" i="11"/>
  <c r="B39" i="11"/>
  <c r="C39" i="11"/>
  <c r="B40" i="11"/>
  <c r="C40" i="11"/>
  <c r="B41" i="11"/>
  <c r="C41" i="11"/>
  <c r="B42" i="11"/>
  <c r="C42" i="11"/>
  <c r="B43" i="11"/>
  <c r="C43" i="11"/>
  <c r="B44" i="11"/>
  <c r="C44" i="11"/>
  <c r="B45" i="11"/>
  <c r="C45" i="11"/>
  <c r="B46" i="11"/>
  <c r="C46" i="11"/>
  <c r="B47" i="11"/>
  <c r="C47" i="11"/>
  <c r="B48" i="11"/>
  <c r="C48" i="11"/>
  <c r="B49" i="11"/>
  <c r="C49" i="11"/>
  <c r="B50" i="11"/>
  <c r="C50" i="11"/>
  <c r="B51" i="11"/>
  <c r="C51" i="11"/>
  <c r="B52" i="11"/>
  <c r="C52" i="11"/>
  <c r="B53" i="11"/>
  <c r="C53" i="11"/>
  <c r="B54" i="11"/>
  <c r="C54" i="11"/>
  <c r="B55" i="11"/>
  <c r="C55" i="11"/>
  <c r="B56" i="11"/>
  <c r="C56" i="11"/>
  <c r="B57" i="11"/>
  <c r="C57" i="11"/>
  <c r="B58" i="11"/>
  <c r="C58" i="11"/>
  <c r="B59" i="11"/>
  <c r="C59" i="11"/>
  <c r="C15" i="11"/>
  <c r="B15" i="11"/>
  <c r="C7" i="11"/>
  <c r="C5" i="11"/>
  <c r="D39" i="1"/>
  <c r="D41" i="1"/>
  <c r="D40" i="1"/>
  <c r="I5" i="8"/>
  <c r="C6" i="11" s="1"/>
  <c r="H36" i="1" l="1"/>
  <c r="O9" i="4"/>
  <c r="C31" i="1" l="1"/>
  <c r="E14" i="1"/>
  <c r="F14" i="1" s="1"/>
  <c r="E33" i="1" l="1"/>
  <c r="E32" i="1"/>
  <c r="E31" i="1"/>
  <c r="C7" i="9"/>
  <c r="C6" i="9"/>
  <c r="G33" i="1"/>
  <c r="G32" i="1"/>
  <c r="G31" i="1"/>
  <c r="B53" i="9"/>
  <c r="C53" i="9"/>
  <c r="B54" i="9"/>
  <c r="C54" i="9"/>
  <c r="B55" i="9"/>
  <c r="C55" i="9"/>
  <c r="B56" i="9"/>
  <c r="C56" i="9"/>
  <c r="B57" i="9"/>
  <c r="C57" i="9"/>
  <c r="B58" i="9"/>
  <c r="C58" i="9"/>
  <c r="B59" i="9"/>
  <c r="C59" i="9"/>
  <c r="B60" i="9"/>
  <c r="C60" i="9"/>
  <c r="W53" i="8"/>
  <c r="AB53" i="8"/>
  <c r="AG53" i="8"/>
  <c r="W54" i="8"/>
  <c r="AB54" i="8"/>
  <c r="AG54" i="8"/>
  <c r="W55" i="8"/>
  <c r="AB55" i="8"/>
  <c r="AG55" i="8"/>
  <c r="W56" i="8"/>
  <c r="AB56" i="8"/>
  <c r="AG56" i="8"/>
  <c r="W57" i="8"/>
  <c r="AB57" i="8"/>
  <c r="AG57" i="8"/>
  <c r="W58" i="8"/>
  <c r="AB58" i="8"/>
  <c r="AG58" i="8"/>
  <c r="W59" i="8"/>
  <c r="AB59" i="8"/>
  <c r="AG59" i="8"/>
  <c r="E24" i="1"/>
  <c r="F24" i="1" s="1"/>
  <c r="G24" i="1" s="1"/>
  <c r="E25" i="1"/>
  <c r="F25" i="1" s="1"/>
  <c r="E27" i="1"/>
  <c r="F27" i="1" s="1"/>
  <c r="E23" i="1"/>
  <c r="F23" i="1" s="1"/>
  <c r="E22" i="1"/>
  <c r="E21" i="1"/>
  <c r="F21" i="1" s="1"/>
  <c r="AG52" i="8"/>
  <c r="AG51" i="8"/>
  <c r="AG50" i="8"/>
  <c r="AG49" i="8"/>
  <c r="AG48" i="8"/>
  <c r="AG47" i="8"/>
  <c r="AG46" i="8"/>
  <c r="AG45" i="8"/>
  <c r="AG44" i="8"/>
  <c r="AG43" i="8"/>
  <c r="AG42" i="8"/>
  <c r="AG41" i="8"/>
  <c r="AG40" i="8"/>
  <c r="AG39" i="8"/>
  <c r="AG38" i="8"/>
  <c r="AG37" i="8"/>
  <c r="AG36" i="8"/>
  <c r="AG35" i="8"/>
  <c r="AG34" i="8"/>
  <c r="AG33" i="8"/>
  <c r="AG32" i="8"/>
  <c r="AG31" i="8"/>
  <c r="AG30" i="8"/>
  <c r="AG29" i="8"/>
  <c r="AG28" i="8"/>
  <c r="AG27" i="8"/>
  <c r="AG26" i="8"/>
  <c r="AG25" i="8"/>
  <c r="AG24" i="8"/>
  <c r="AG23" i="8"/>
  <c r="AG22" i="8"/>
  <c r="AG21" i="8"/>
  <c r="AG20" i="8"/>
  <c r="AG19" i="8"/>
  <c r="AG18" i="8"/>
  <c r="AG17" i="8"/>
  <c r="AG16" i="8"/>
  <c r="AG15" i="8"/>
  <c r="E19" i="1" s="1"/>
  <c r="F19" i="1" s="1"/>
  <c r="AB52" i="8"/>
  <c r="AB51" i="8"/>
  <c r="AB50" i="8"/>
  <c r="AB49" i="8"/>
  <c r="AB48" i="8"/>
  <c r="AB47" i="8"/>
  <c r="AB46" i="8"/>
  <c r="AB45" i="8"/>
  <c r="AB44" i="8"/>
  <c r="AB43" i="8"/>
  <c r="AB42" i="8"/>
  <c r="AB41" i="8"/>
  <c r="AB40" i="8"/>
  <c r="AB39" i="8"/>
  <c r="AB38" i="8"/>
  <c r="AB37" i="8"/>
  <c r="AB36" i="8"/>
  <c r="AB35" i="8"/>
  <c r="AB34" i="8"/>
  <c r="AB33" i="8"/>
  <c r="AB32" i="8"/>
  <c r="AB31" i="8"/>
  <c r="AB30" i="8"/>
  <c r="AB29" i="8"/>
  <c r="AB28" i="8"/>
  <c r="AB27" i="8"/>
  <c r="AB26" i="8"/>
  <c r="AB25" i="8"/>
  <c r="AB24" i="8"/>
  <c r="AB23" i="8"/>
  <c r="AB22" i="8"/>
  <c r="AB21" i="8"/>
  <c r="AB20" i="8"/>
  <c r="AB19" i="8"/>
  <c r="AB18" i="8"/>
  <c r="AB17" i="8"/>
  <c r="AB16" i="8"/>
  <c r="AB15" i="8"/>
  <c r="W52" i="8"/>
  <c r="W51" i="8"/>
  <c r="W50" i="8"/>
  <c r="W49" i="8"/>
  <c r="W48" i="8"/>
  <c r="W47" i="8"/>
  <c r="W46" i="8"/>
  <c r="W45" i="8"/>
  <c r="W44" i="8"/>
  <c r="W43" i="8"/>
  <c r="W42" i="8"/>
  <c r="W41" i="8"/>
  <c r="W40" i="8"/>
  <c r="W39" i="8"/>
  <c r="W38" i="8"/>
  <c r="W37" i="8"/>
  <c r="W36" i="8"/>
  <c r="W35" i="8"/>
  <c r="W34" i="8"/>
  <c r="W33" i="8"/>
  <c r="W32" i="8"/>
  <c r="W31" i="8"/>
  <c r="W30" i="8"/>
  <c r="W29" i="8"/>
  <c r="W28" i="8"/>
  <c r="W27" i="8"/>
  <c r="W26" i="8"/>
  <c r="W25" i="8"/>
  <c r="W24" i="8"/>
  <c r="W23" i="8"/>
  <c r="W22" i="8"/>
  <c r="W21" i="8"/>
  <c r="W20" i="8"/>
  <c r="W19" i="8"/>
  <c r="W18" i="8"/>
  <c r="W17" i="8"/>
  <c r="W16" i="8"/>
  <c r="W15" i="8"/>
  <c r="E17" i="1" s="1"/>
  <c r="F17" i="1" s="1"/>
  <c r="E16" i="1"/>
  <c r="F16" i="1" s="1"/>
  <c r="E15" i="1"/>
  <c r="F15" i="1" s="1"/>
  <c r="BG12" i="8"/>
  <c r="BB12" i="8"/>
  <c r="AW12" i="8"/>
  <c r="AR12" i="8"/>
  <c r="AM12" i="8"/>
  <c r="AH12" i="8"/>
  <c r="AC12" i="8"/>
  <c r="X12" i="8"/>
  <c r="S12" i="8"/>
  <c r="N12" i="8"/>
  <c r="I12" i="8"/>
  <c r="D12" i="8"/>
  <c r="N9" i="4"/>
  <c r="M9" i="4"/>
  <c r="L9" i="4"/>
  <c r="K9" i="4"/>
  <c r="J9" i="4"/>
  <c r="I50" i="1"/>
  <c r="D3" i="1"/>
  <c r="I3" i="1"/>
  <c r="I5" i="1"/>
  <c r="I6" i="1"/>
  <c r="C9" i="10"/>
  <c r="C8" i="10"/>
  <c r="C9" i="9"/>
  <c r="C8" i="9"/>
  <c r="C9" i="6"/>
  <c r="C8" i="6"/>
  <c r="C33" i="1"/>
  <c r="C32" i="1"/>
  <c r="B55" i="6"/>
  <c r="C55" i="6"/>
  <c r="C55" i="10"/>
  <c r="B55" i="10"/>
  <c r="C54" i="10"/>
  <c r="B54" i="10"/>
  <c r="C53" i="10"/>
  <c r="B53" i="10"/>
  <c r="C52" i="10"/>
  <c r="B52" i="10"/>
  <c r="C51" i="10"/>
  <c r="B51" i="10"/>
  <c r="C50" i="10"/>
  <c r="B50" i="10"/>
  <c r="C49" i="10"/>
  <c r="B49" i="10"/>
  <c r="C48" i="10"/>
  <c r="B48" i="10"/>
  <c r="C47" i="10"/>
  <c r="B47" i="10"/>
  <c r="C46" i="10"/>
  <c r="B46" i="10"/>
  <c r="C45" i="10"/>
  <c r="B45" i="10"/>
  <c r="C44" i="10"/>
  <c r="B44" i="10"/>
  <c r="C43" i="10"/>
  <c r="B43" i="10"/>
  <c r="C42" i="10"/>
  <c r="B42" i="10"/>
  <c r="C41" i="10"/>
  <c r="B41" i="10"/>
  <c r="C40" i="10"/>
  <c r="B40" i="10"/>
  <c r="C39" i="10"/>
  <c r="B39" i="10"/>
  <c r="C38" i="10"/>
  <c r="B38" i="10"/>
  <c r="C37" i="10"/>
  <c r="B37" i="10"/>
  <c r="C36" i="10"/>
  <c r="B36" i="10"/>
  <c r="C35" i="10"/>
  <c r="B35" i="10"/>
  <c r="C34" i="10"/>
  <c r="B34" i="10"/>
  <c r="C33" i="10"/>
  <c r="B33" i="10"/>
  <c r="C32" i="10"/>
  <c r="B32" i="10"/>
  <c r="C31" i="10"/>
  <c r="B31" i="10"/>
  <c r="C30" i="10"/>
  <c r="B30" i="10"/>
  <c r="C29" i="10"/>
  <c r="B29" i="10"/>
  <c r="C28" i="10"/>
  <c r="B28" i="10"/>
  <c r="C27" i="10"/>
  <c r="B27" i="10"/>
  <c r="C26" i="10"/>
  <c r="B26" i="10"/>
  <c r="C25" i="10"/>
  <c r="B25" i="10"/>
  <c r="C24" i="10"/>
  <c r="B24" i="10"/>
  <c r="C23" i="10"/>
  <c r="B23" i="10"/>
  <c r="C22" i="10"/>
  <c r="B22" i="10"/>
  <c r="C21" i="10"/>
  <c r="B21" i="10"/>
  <c r="C20" i="10"/>
  <c r="B20" i="10"/>
  <c r="C19" i="10"/>
  <c r="B19" i="10"/>
  <c r="C18" i="10"/>
  <c r="B18" i="10"/>
  <c r="C17" i="10"/>
  <c r="B17" i="10"/>
  <c r="C16" i="10"/>
  <c r="B16" i="10"/>
  <c r="C7" i="10"/>
  <c r="C52" i="9"/>
  <c r="B52" i="9"/>
  <c r="C51" i="9"/>
  <c r="B51" i="9"/>
  <c r="C50" i="9"/>
  <c r="B50" i="9"/>
  <c r="C49" i="9"/>
  <c r="B49" i="9"/>
  <c r="C48" i="9"/>
  <c r="B48" i="9"/>
  <c r="C47" i="9"/>
  <c r="B47" i="9"/>
  <c r="C46" i="9"/>
  <c r="B46" i="9"/>
  <c r="C45" i="9"/>
  <c r="B45" i="9"/>
  <c r="C44" i="9"/>
  <c r="B44" i="9"/>
  <c r="C43" i="9"/>
  <c r="B43" i="9"/>
  <c r="C42" i="9"/>
  <c r="B42" i="9"/>
  <c r="C41" i="9"/>
  <c r="B41" i="9"/>
  <c r="C40" i="9"/>
  <c r="B40" i="9"/>
  <c r="C39" i="9"/>
  <c r="B39" i="9"/>
  <c r="C38" i="9"/>
  <c r="B38" i="9"/>
  <c r="C37" i="9"/>
  <c r="B37" i="9"/>
  <c r="C36" i="9"/>
  <c r="B36" i="9"/>
  <c r="C35" i="9"/>
  <c r="B35" i="9"/>
  <c r="C34" i="9"/>
  <c r="B34" i="9"/>
  <c r="C33" i="9"/>
  <c r="B33" i="9"/>
  <c r="C32" i="9"/>
  <c r="B32" i="9"/>
  <c r="C31" i="9"/>
  <c r="B31" i="9"/>
  <c r="C30" i="9"/>
  <c r="B30" i="9"/>
  <c r="C29" i="9"/>
  <c r="B29" i="9"/>
  <c r="C28" i="9"/>
  <c r="B28" i="9"/>
  <c r="C27" i="9"/>
  <c r="B27" i="9"/>
  <c r="C26" i="9"/>
  <c r="B26" i="9"/>
  <c r="C25" i="9"/>
  <c r="B25" i="9"/>
  <c r="C24" i="9"/>
  <c r="B24" i="9"/>
  <c r="C23" i="9"/>
  <c r="B23" i="9"/>
  <c r="C22" i="9"/>
  <c r="B22" i="9"/>
  <c r="C21" i="9"/>
  <c r="B21" i="9"/>
  <c r="C20" i="9"/>
  <c r="B20" i="9"/>
  <c r="C19" i="9"/>
  <c r="B19" i="9"/>
  <c r="C18" i="9"/>
  <c r="B18" i="9"/>
  <c r="C17" i="9"/>
  <c r="B17" i="9"/>
  <c r="C16" i="9"/>
  <c r="B16" i="9"/>
  <c r="G9" i="4"/>
  <c r="I9" i="4"/>
  <c r="H9" i="4"/>
  <c r="F9" i="4"/>
  <c r="E9" i="4"/>
  <c r="D9" i="4"/>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16" i="6"/>
  <c r="C7" i="6"/>
  <c r="C6" i="10"/>
  <c r="D4" i="1"/>
  <c r="C6" i="6"/>
  <c r="BL16" i="8" l="1"/>
  <c r="BL52" i="8"/>
  <c r="BL48" i="8"/>
  <c r="BL44" i="8"/>
  <c r="BL40" i="8"/>
  <c r="BL36" i="8"/>
  <c r="BL32" i="8"/>
  <c r="BL28" i="8"/>
  <c r="BL24" i="8"/>
  <c r="BL20" i="8"/>
  <c r="BL51" i="8"/>
  <c r="BL47" i="8"/>
  <c r="BL43" i="8"/>
  <c r="BL39" i="8"/>
  <c r="BL35" i="8"/>
  <c r="BL31" i="8"/>
  <c r="BL27" i="8"/>
  <c r="BL23" i="8"/>
  <c r="BL19" i="8"/>
  <c r="BL59" i="8"/>
  <c r="BL58" i="8"/>
  <c r="BL57" i="8"/>
  <c r="BL56" i="8"/>
  <c r="BL55" i="8"/>
  <c r="BL54" i="8"/>
  <c r="BL50" i="8"/>
  <c r="BL46" i="8"/>
  <c r="BL42" i="8"/>
  <c r="BL38" i="8"/>
  <c r="BL34" i="8"/>
  <c r="BL30" i="8"/>
  <c r="BL26" i="8"/>
  <c r="BL22" i="8"/>
  <c r="BL18" i="8"/>
  <c r="BL17" i="8"/>
  <c r="BL53" i="8"/>
  <c r="BL49" i="8"/>
  <c r="BL45" i="8"/>
  <c r="BL41" i="8"/>
  <c r="BL37" i="8"/>
  <c r="BL33" i="8"/>
  <c r="BL29" i="8"/>
  <c r="BL25" i="8"/>
  <c r="BL21" i="8"/>
  <c r="E18" i="1"/>
  <c r="F18" i="1" s="1"/>
  <c r="G18" i="1" s="1"/>
  <c r="BL15" i="8"/>
  <c r="BM15" i="8" s="1"/>
  <c r="F22" i="1"/>
  <c r="G22" i="1" s="1"/>
  <c r="B81" i="1"/>
  <c r="G15" i="1"/>
  <c r="G17" i="1"/>
  <c r="G27" i="1"/>
  <c r="G19" i="1"/>
  <c r="G16" i="1"/>
  <c r="G23" i="1"/>
  <c r="G25" i="1"/>
  <c r="G14" i="1"/>
  <c r="G21" i="1"/>
  <c r="BM37" i="8" l="1"/>
  <c r="D37" i="11" s="1"/>
  <c r="BM25" i="8"/>
  <c r="D25" i="11" s="1"/>
  <c r="BM41" i="8"/>
  <c r="D41" i="11" s="1"/>
  <c r="BM17" i="8"/>
  <c r="D17" i="11" s="1"/>
  <c r="BM30" i="8"/>
  <c r="D30" i="11" s="1"/>
  <c r="BM46" i="8"/>
  <c r="D46" i="11" s="1"/>
  <c r="BM56" i="8"/>
  <c r="D56" i="11" s="1"/>
  <c r="BM19" i="8"/>
  <c r="D19" i="11" s="1"/>
  <c r="BM35" i="8"/>
  <c r="D35" i="11" s="1"/>
  <c r="BM51" i="8"/>
  <c r="D51" i="11" s="1"/>
  <c r="BM32" i="8"/>
  <c r="D32" i="11" s="1"/>
  <c r="BM48" i="8"/>
  <c r="D48" i="11" s="1"/>
  <c r="BM53" i="8"/>
  <c r="D53" i="11" s="1"/>
  <c r="BM42" i="8"/>
  <c r="D42" i="11" s="1"/>
  <c r="BM59" i="8"/>
  <c r="D59" i="11" s="1"/>
  <c r="BM47" i="8"/>
  <c r="D47" i="11" s="1"/>
  <c r="BM44" i="8"/>
  <c r="D44" i="11" s="1"/>
  <c r="BM29" i="8"/>
  <c r="D29" i="11" s="1"/>
  <c r="BM45" i="8"/>
  <c r="D45" i="11" s="1"/>
  <c r="BM18" i="8"/>
  <c r="D18" i="11" s="1"/>
  <c r="BM34" i="8"/>
  <c r="D34" i="11" s="1"/>
  <c r="BM50" i="8"/>
  <c r="D50" i="11" s="1"/>
  <c r="BM57" i="8"/>
  <c r="D57" i="11" s="1"/>
  <c r="BM23" i="8"/>
  <c r="D23" i="11" s="1"/>
  <c r="BM39" i="8"/>
  <c r="D39" i="11" s="1"/>
  <c r="BM20" i="8"/>
  <c r="D20" i="11" s="1"/>
  <c r="BM36" i="8"/>
  <c r="D36" i="11" s="1"/>
  <c r="BM52" i="8"/>
  <c r="D52" i="11" s="1"/>
  <c r="BM21" i="8"/>
  <c r="D21" i="11" s="1"/>
  <c r="BM26" i="8"/>
  <c r="D26" i="11" s="1"/>
  <c r="BM55" i="8"/>
  <c r="D55" i="11" s="1"/>
  <c r="BM31" i="8"/>
  <c r="D31" i="11" s="1"/>
  <c r="BM28" i="8"/>
  <c r="D28" i="11" s="1"/>
  <c r="BM33" i="8"/>
  <c r="D33" i="11" s="1"/>
  <c r="BM49" i="8"/>
  <c r="D49" i="11" s="1"/>
  <c r="BM22" i="8"/>
  <c r="D22" i="11" s="1"/>
  <c r="BM38" i="8"/>
  <c r="D38" i="11" s="1"/>
  <c r="BM54" i="8"/>
  <c r="D54" i="11" s="1"/>
  <c r="BM58" i="8"/>
  <c r="D58" i="11" s="1"/>
  <c r="BM27" i="8"/>
  <c r="D27" i="11" s="1"/>
  <c r="BM43" i="8"/>
  <c r="D43" i="11" s="1"/>
  <c r="BM24" i="8"/>
  <c r="D24" i="11" s="1"/>
  <c r="BM40" i="8"/>
  <c r="D40" i="11" s="1"/>
  <c r="BM16" i="8"/>
  <c r="D16" i="11" s="1"/>
  <c r="D35" i="1"/>
  <c r="D15" i="11" l="1"/>
  <c r="E15" i="11" s="1"/>
  <c r="D36" i="1"/>
  <c r="E21" i="11" l="1"/>
  <c r="E28" i="11"/>
  <c r="E32" i="11"/>
  <c r="E37" i="11"/>
  <c r="E38" i="11"/>
  <c r="E20" i="11"/>
  <c r="E33" i="11"/>
  <c r="E22" i="11"/>
  <c r="E25" i="11"/>
  <c r="E44" i="11"/>
  <c r="E34" i="11"/>
  <c r="E45" i="11"/>
  <c r="E30" i="11"/>
  <c r="E39" i="11"/>
  <c r="E43" i="11"/>
  <c r="E42" i="11"/>
  <c r="E26" i="11"/>
  <c r="E36" i="11"/>
  <c r="E17" i="11"/>
  <c r="E18" i="11"/>
  <c r="E27" i="11"/>
  <c r="E35" i="11"/>
  <c r="E29" i="11"/>
  <c r="E41" i="11"/>
  <c r="E19" i="11"/>
  <c r="E23" i="11"/>
  <c r="E16" i="11"/>
  <c r="E46" i="11"/>
  <c r="E40" i="11"/>
  <c r="E31" i="11"/>
  <c r="E24" i="11"/>
  <c r="H35" i="1"/>
</calcChain>
</file>

<file path=xl/sharedStrings.xml><?xml version="1.0" encoding="utf-8"?>
<sst xmlns="http://schemas.openxmlformats.org/spreadsheetml/2006/main" count="1913" uniqueCount="291">
  <si>
    <t>Alamat</t>
  </si>
  <si>
    <t>N I S N</t>
  </si>
  <si>
    <t>Kelas</t>
  </si>
  <si>
    <t>Semester</t>
  </si>
  <si>
    <t>Tahun Pelajaran</t>
  </si>
  <si>
    <t>No</t>
  </si>
  <si>
    <t>Predikat</t>
  </si>
  <si>
    <t>SMK NEGERI 1 DEPOK</t>
  </si>
  <si>
    <t>Pendidikan Agama dan Budi Pekerti</t>
  </si>
  <si>
    <t>Bahasa Indonesia</t>
  </si>
  <si>
    <t>Matematika</t>
  </si>
  <si>
    <t>Bahasa Inggris</t>
  </si>
  <si>
    <t>Pendidikan Jasmani, Olahraga dan Kesehatan</t>
  </si>
  <si>
    <t>Keterangan</t>
  </si>
  <si>
    <t>Sakit</t>
  </si>
  <si>
    <t>Ijin</t>
  </si>
  <si>
    <t>Tanpa Keterangan</t>
  </si>
  <si>
    <t>1.</t>
  </si>
  <si>
    <t>2.</t>
  </si>
  <si>
    <t>3.</t>
  </si>
  <si>
    <t>Mengetahui,</t>
  </si>
  <si>
    <t>Orangtua / Wali,</t>
  </si>
  <si>
    <t>LEGGER HASIL BELAJAR SISWA</t>
  </si>
  <si>
    <t>KELAS</t>
  </si>
  <si>
    <t>JUMLAH SISWA</t>
  </si>
  <si>
    <t>NAMA WALI KELAS</t>
  </si>
  <si>
    <t>NIP / NUPTK</t>
  </si>
  <si>
    <t>NO</t>
  </si>
  <si>
    <t>NAMA SISWA</t>
  </si>
  <si>
    <t>NILAI AKHIR</t>
  </si>
  <si>
    <t>KETIDAKHADIRAN</t>
  </si>
  <si>
    <t>SAKIT</t>
  </si>
  <si>
    <t>IJIN</t>
  </si>
  <si>
    <t>ALPA</t>
  </si>
  <si>
    <t>Kualifikasi</t>
  </si>
  <si>
    <t>Nama DU/DI 1</t>
  </si>
  <si>
    <t>Lokasi 1</t>
  </si>
  <si>
    <t>Lamanya 1</t>
  </si>
  <si>
    <t>Keterangan 1</t>
  </si>
  <si>
    <t>Nama DU/DI 2</t>
  </si>
  <si>
    <t>Lokasi 2</t>
  </si>
  <si>
    <t>Lamanya 2</t>
  </si>
  <si>
    <t>Keterangan 2</t>
  </si>
  <si>
    <t>Nama DU/DI 3</t>
  </si>
  <si>
    <t>Lokasi 3</t>
  </si>
  <si>
    <t>Lamanya 3</t>
  </si>
  <si>
    <t>Keterangan 3</t>
  </si>
  <si>
    <t>PRAKERIN / MAGANG 1</t>
  </si>
  <si>
    <t>PRAKERIN / MAGANG 2</t>
  </si>
  <si>
    <t>PRAKERIN / MAGANG 3</t>
  </si>
  <si>
    <t>EKSTRAKURIKULER 1</t>
  </si>
  <si>
    <t>Nama Ekskul 1</t>
  </si>
  <si>
    <t>Angka 1</t>
  </si>
  <si>
    <t>Huruf 1</t>
  </si>
  <si>
    <t>EKSTRAKURIKULER 2</t>
  </si>
  <si>
    <t>Nama Ekskul 2</t>
  </si>
  <si>
    <t>Angka 2</t>
  </si>
  <si>
    <t>Huruf 2</t>
  </si>
  <si>
    <t>EKSTRAKURIKULER 3</t>
  </si>
  <si>
    <t>Nama Ekskul 3</t>
  </si>
  <si>
    <t>Angka 3</t>
  </si>
  <si>
    <t>Huruf 3</t>
  </si>
  <si>
    <t>KEJUARAAN 1</t>
  </si>
  <si>
    <t>Nama Lomba 1</t>
  </si>
  <si>
    <t>Tingkat 1</t>
  </si>
  <si>
    <t>Raih 1</t>
  </si>
  <si>
    <t>KEJUARAAN 2</t>
  </si>
  <si>
    <t>Nama Lomba 2</t>
  </si>
  <si>
    <t>Tingkat 2</t>
  </si>
  <si>
    <t>Raih 2</t>
  </si>
  <si>
    <t>KEJUARAAN 3</t>
  </si>
  <si>
    <t>Nama Lomba 3</t>
  </si>
  <si>
    <t>Tingkat 3</t>
  </si>
  <si>
    <t>Raih 3</t>
  </si>
  <si>
    <t>PRAKERIN / PKL / MAGANG</t>
  </si>
  <si>
    <t>EKSTRAKURIKULER</t>
  </si>
  <si>
    <t>PRESTASI / KEJUARAAN / MENANG LOMBA</t>
  </si>
  <si>
    <t>-</t>
  </si>
  <si>
    <t>KELAS                                                 :</t>
  </si>
  <si>
    <t>JUMLAH SISWA                                :</t>
  </si>
  <si>
    <t>NAMA WALI KELAS                         :</t>
  </si>
  <si>
    <t>NIP / NUPTK                                       :</t>
  </si>
  <si>
    <t>INPUT REKAM DATA PELAKSANAAN DAN HASIL PRAKERIN</t>
  </si>
  <si>
    <t>INPUT REKAM DATA PELAKSANAAN DAN HASIL EKSTRA KULIKULER</t>
  </si>
  <si>
    <t>INPUT REKAM DATA PELAKSANAAN DAN HASIL PRESTASI SISWA</t>
  </si>
  <si>
    <t>SEMESTER</t>
  </si>
  <si>
    <t>TAHUN  PELAJARAN</t>
  </si>
  <si>
    <t>Nilai</t>
  </si>
  <si>
    <t>90 - 100</t>
  </si>
  <si>
    <t>80 - 89</t>
  </si>
  <si>
    <t>70 - 79</t>
  </si>
  <si>
    <t>0 - 69</t>
  </si>
  <si>
    <r>
      <t xml:space="preserve">PERIODE SEMESTER </t>
    </r>
    <r>
      <rPr>
        <b/>
        <sz val="20"/>
        <color indexed="10"/>
        <rFont val="Arial Narrow"/>
        <family val="2"/>
      </rPr>
      <t>GANJIL</t>
    </r>
    <r>
      <rPr>
        <b/>
        <sz val="20"/>
        <color indexed="8"/>
        <rFont val="Arial Narrow"/>
        <family val="2"/>
      </rPr>
      <t xml:space="preserve"> TAHUN PELAJARAN 2021/2022</t>
    </r>
  </si>
  <si>
    <t>Sekolah</t>
  </si>
  <si>
    <t>Fase</t>
  </si>
  <si>
    <t>Nilai Akhir</t>
  </si>
  <si>
    <t>Mata Pelajaran</t>
  </si>
  <si>
    <t>A.  KELOMPOK UMUM</t>
  </si>
  <si>
    <t>B.  KELOMPOK KEJURUAN</t>
  </si>
  <si>
    <t>MUATAN LOKAL</t>
  </si>
  <si>
    <t>Nama Peserta Didik</t>
  </si>
  <si>
    <t>1 (SATU)</t>
  </si>
  <si>
    <t>LAPORAN HASIL BELAJAR</t>
  </si>
  <si>
    <t>Wali Kelas</t>
  </si>
  <si>
    <t>Kepala Sekolah,</t>
  </si>
  <si>
    <t>No.</t>
  </si>
  <si>
    <t>Ekstrakurikuler</t>
  </si>
  <si>
    <t>Ketidak Hadiran</t>
  </si>
  <si>
    <t>Siswa</t>
  </si>
  <si>
    <t>Sejarah</t>
  </si>
  <si>
    <t>Kelompok Umum #1</t>
  </si>
  <si>
    <t>Kelompok Umum #2</t>
  </si>
  <si>
    <t>Kelompok Umum #3</t>
  </si>
  <si>
    <t>Kelompok Umum #4</t>
  </si>
  <si>
    <t>Kelompok Umum #5</t>
  </si>
  <si>
    <t>Kelompok Umum #6</t>
  </si>
  <si>
    <t>Kelompok Kejuruan #7</t>
  </si>
  <si>
    <t>Kelompok Kejuruan #8</t>
  </si>
  <si>
    <t>Kelompok Kejuruan #9</t>
  </si>
  <si>
    <t>Kelompok Kejuruan #10</t>
  </si>
  <si>
    <t>Kelompok Kejuruan #11</t>
  </si>
  <si>
    <t>Muatan Lokal #12</t>
  </si>
  <si>
    <t>Konsep _ SEJARAH _ Sangat Kompeten</t>
  </si>
  <si>
    <t>Konsep _ PENJAS _ Sangat Kompeten</t>
  </si>
  <si>
    <t>Konsep _ SENI _ Sangat Kompeten</t>
  </si>
  <si>
    <t>FORMATIF/P.T.S.</t>
  </si>
  <si>
    <t>SUMATIF/P.A.S.</t>
  </si>
  <si>
    <t>KELOMPOK UMUM  #1</t>
  </si>
  <si>
    <t>KELOMPOK UMUM  #2</t>
  </si>
  <si>
    <t>KELOMPOK UMUM  #3</t>
  </si>
  <si>
    <t>KELOMPOK UMUM  #4</t>
  </si>
  <si>
    <t>KELOMPOK UMUM  #5</t>
  </si>
  <si>
    <t>KELOMPOK UMUM  #6</t>
  </si>
  <si>
    <t>KELOMPOK KEJURUAN  #1</t>
  </si>
  <si>
    <t>KELOMPOK KEJURUAN  #2</t>
  </si>
  <si>
    <t>KELOMPOK KEJURUAN  #3</t>
  </si>
  <si>
    <t>KELOMPOK KEJURUAN  #4</t>
  </si>
  <si>
    <t>KELOMPOK KEJURUAN  #5</t>
  </si>
  <si>
    <t>MUATAN LOKAL #1</t>
  </si>
  <si>
    <t>Konsep _ PENJAS _ Kompeten</t>
  </si>
  <si>
    <t>Konsep _ SEJARAH _ Kompeten</t>
  </si>
  <si>
    <t>Konsep _ SENI _ Kompeten</t>
  </si>
  <si>
    <t>Konsep _ PENJAS _ Cukup Kompeten</t>
  </si>
  <si>
    <t>Konsep _ SEJARAH _ Cukup Kompeten</t>
  </si>
  <si>
    <t>Konsep _ SENI _ Cukup Kompeten</t>
  </si>
  <si>
    <t>Konsep _ PENJAS _ Belum Kompeten</t>
  </si>
  <si>
    <t>Konsep _ SEJARAH _ Belum Kompeten</t>
  </si>
  <si>
    <t>Konsep _ SENI _ Belum Kompeten</t>
  </si>
  <si>
    <t>DESKRIPSI CAPAIAN KOMPETENSI PESERTA DIDIK</t>
  </si>
  <si>
    <t>Capaian Kompetensi</t>
  </si>
  <si>
    <t>Sangat Baik</t>
  </si>
  <si>
    <t>Baik</t>
  </si>
  <si>
    <t>Cukup</t>
  </si>
  <si>
    <t>Perlu Bimbingan</t>
  </si>
  <si>
    <t>SMK YAJ</t>
  </si>
  <si>
    <t xml:space="preserve">Pendidikan Pancasila </t>
  </si>
  <si>
    <t>Seni Budaya</t>
  </si>
  <si>
    <t>Dasar Design Grafis</t>
  </si>
  <si>
    <t>Jl. Arridho RT. 01/04 No. 166</t>
  </si>
  <si>
    <t>Idham Kholid, S. Ag., S. E.</t>
  </si>
  <si>
    <t>RERATA TUGAS/PH/Assessment</t>
  </si>
  <si>
    <t>KEHADIRAN</t>
  </si>
  <si>
    <t>Konsep diisi :  indikator kemampuan siswa</t>
  </si>
  <si>
    <t xml:space="preserve">    NIP. -</t>
  </si>
  <si>
    <t>Total Nilai</t>
  </si>
  <si>
    <t>Peringkat Ke</t>
  </si>
  <si>
    <t>Nilai Rata-Rata</t>
  </si>
  <si>
    <t>Catatan Wali Kelas</t>
  </si>
  <si>
    <t>Rata-Rata</t>
  </si>
  <si>
    <t xml:space="preserve">KELAS               </t>
  </si>
  <si>
    <t xml:space="preserve">JUMLAH SISWA             </t>
  </si>
  <si>
    <t xml:space="preserve">NAMA WALI KELAS   </t>
  </si>
  <si>
    <t xml:space="preserve">NIP </t>
  </si>
  <si>
    <t>RATA-RATA NILAI</t>
  </si>
  <si>
    <t>PERINGKAT KELAS</t>
  </si>
  <si>
    <t>Catatan</t>
  </si>
  <si>
    <t>F</t>
  </si>
  <si>
    <t>Konsentrasi Keahlian</t>
  </si>
  <si>
    <t>Projek Kreatif dan Kewirausahaan</t>
  </si>
  <si>
    <t>PERIODE SEMESTER GANJIL TAHUN PELAJARAN 2024/2025</t>
  </si>
  <si>
    <t>2024 /2025</t>
  </si>
  <si>
    <t>Depok,  20 Desember 2024</t>
  </si>
  <si>
    <t xml:space="preserve"> NIP. -</t>
  </si>
  <si>
    <t>Elsa Wahyuningrum, A.Md. KA.</t>
  </si>
  <si>
    <t>XII AKL</t>
  </si>
  <si>
    <t>Amelia</t>
  </si>
  <si>
    <t>0068552301</t>
  </si>
  <si>
    <t>Chrycen Rivia Disa</t>
  </si>
  <si>
    <t>0076793345</t>
  </si>
  <si>
    <t>Citra Attailah</t>
  </si>
  <si>
    <t>0075546309</t>
  </si>
  <si>
    <t>Dimas Setiawan</t>
  </si>
  <si>
    <t>0073521089</t>
  </si>
  <si>
    <t>Fadhil Ubaidillah</t>
  </si>
  <si>
    <t>0063430650</t>
  </si>
  <si>
    <t>Ferza Febriansyah</t>
  </si>
  <si>
    <t>0071685041</t>
  </si>
  <si>
    <t>Iqlimah Cahaya Mustika</t>
  </si>
  <si>
    <t>0064268039</t>
  </si>
  <si>
    <t>Irshal Rhama Aidillah</t>
  </si>
  <si>
    <t>3074487136</t>
  </si>
  <si>
    <t>Jingga Nur Qalam</t>
  </si>
  <si>
    <t>0067481076</t>
  </si>
  <si>
    <t>Karina Dwi Sagita</t>
  </si>
  <si>
    <t>0057659388</t>
  </si>
  <si>
    <t>Larasati</t>
  </si>
  <si>
    <t>3073371186</t>
  </si>
  <si>
    <t>Lia Apriyani</t>
  </si>
  <si>
    <t>0074403542</t>
  </si>
  <si>
    <t>Lulu Amanda</t>
  </si>
  <si>
    <t>0078516371</t>
  </si>
  <si>
    <t>Marsella</t>
  </si>
  <si>
    <t>0068435867</t>
  </si>
  <si>
    <t>Monica Nuraini</t>
  </si>
  <si>
    <t>3074322550</t>
  </si>
  <si>
    <t>Muhammad Rafa Zaidan</t>
  </si>
  <si>
    <t>0078820397</t>
  </si>
  <si>
    <t>Mutia Nurhapijah</t>
  </si>
  <si>
    <t>0066903308</t>
  </si>
  <si>
    <t>Nayla Adristi Permata</t>
  </si>
  <si>
    <t>0069309541</t>
  </si>
  <si>
    <t>Nazwa Inggrid Afiah</t>
  </si>
  <si>
    <t>0074899472</t>
  </si>
  <si>
    <t>Nikmatuz Zakiyah</t>
  </si>
  <si>
    <t>0073236952</t>
  </si>
  <si>
    <t>Novia Nabila</t>
  </si>
  <si>
    <t>0063211372</t>
  </si>
  <si>
    <t>Rafly Ardiansyah</t>
  </si>
  <si>
    <t>0058145729</t>
  </si>
  <si>
    <t>Ratu Ramadhania</t>
  </si>
  <si>
    <t>0069672011</t>
  </si>
  <si>
    <t>Rizky Intan Fahrani</t>
  </si>
  <si>
    <t>3075648832</t>
  </si>
  <si>
    <t>Salwa Fatimah Az-Zahra</t>
  </si>
  <si>
    <t>0071228586</t>
  </si>
  <si>
    <t>Salwa Salsabila</t>
  </si>
  <si>
    <t>0066383402</t>
  </si>
  <si>
    <t>Shalsabila Lesmana</t>
  </si>
  <si>
    <t>0065632276</t>
  </si>
  <si>
    <t>Siti Mutia Hanna</t>
  </si>
  <si>
    <t>0062588903</t>
  </si>
  <si>
    <t>Syafira Andhini Endah Muejiawati</t>
  </si>
  <si>
    <t>0077798543</t>
  </si>
  <si>
    <t>Thoriq Ahmad Muzafran</t>
  </si>
  <si>
    <t>3054086042</t>
  </si>
  <si>
    <t>Vadyllah Zhara</t>
  </si>
  <si>
    <t>0078314869</t>
  </si>
  <si>
    <t>Zafira Raysa Umar</t>
  </si>
  <si>
    <t>0073130066</t>
  </si>
  <si>
    <t>Mata Pelajaran Pilhan (Spreadsheet)</t>
  </si>
  <si>
    <r>
      <t>Peserta didik mampu menganalisis perhitungan persediaan dengan berbagai metode, menganalisis rekonsiliasi bank, mampu menghitung PPh Pasal 21 terutang dan mampu memahami siklus akuntansi lembaga pemerintahan. Peserta didik mampu mencatat transaksi serta memposting ke dalam Jurnal Umum, Buku Besar, dan Neraca Saldo pada Perusahaan Jasa dengan</t>
    </r>
    <r>
      <rPr>
        <b/>
        <sz val="12"/>
        <color theme="1"/>
        <rFont val="Arial Narrow"/>
        <family val="2"/>
      </rPr>
      <t xml:space="preserve"> Sangat Baik.</t>
    </r>
  </si>
  <si>
    <r>
      <t>Peserta didik mampu menganalisis perhitungan persediaan dengan berbagai metode, menganalisis rekonsiliasi bank, mampu menghitung PPh Pasal 21 terutang dan mampu memahami siklus akuntansi lembaga pemerintahan. Peserta didik mampu mencatat transaksi serta memposting ke dalam Jurnal Umum, Buku Besar, dan Neraca Saldo pada Perusahaan Jasa dengan</t>
    </r>
    <r>
      <rPr>
        <b/>
        <sz val="12"/>
        <color theme="1"/>
        <rFont val="Arial Narrow"/>
        <family val="2"/>
      </rPr>
      <t xml:space="preserve"> Baik.</t>
    </r>
  </si>
  <si>
    <r>
      <t xml:space="preserve">Peserta didik mampu menganalisis perhitungan persediaan dengan berbagai metode, menganalisis rekonsiliasi bank, mampu menghitung PPh Pasal 21 terutang dan mampu memahami siklus akuntansi lembaga pemerintahan. Peserta didik mampu mencatat transaksi serta memposting ke dalam Jurnal Umum, Buku Besar, dan Neraca Saldo pada Perusahaan Jasa dengan </t>
    </r>
    <r>
      <rPr>
        <b/>
        <sz val="12"/>
        <color theme="1"/>
        <rFont val="Arial Narrow"/>
        <family val="2"/>
      </rPr>
      <t>Cukup Baik.</t>
    </r>
  </si>
  <si>
    <r>
      <t xml:space="preserve">Peserta didik belum mampu menganalisis perhitungan persediaan dengan berbagai metode, menganalisis rekonsiliasi bank, mampu menghitung PPh Pasal 21 terutang dan mampu memahami siklus akuntansi lembaga pemerintahan. Peserta didik mampu mencatat transaksi serta memposting ke dalam Jurnal Umum, Buku Besar, Neraca Saldo pada Perusahaan Jasa dan </t>
    </r>
    <r>
      <rPr>
        <b/>
        <sz val="12"/>
        <color theme="1"/>
        <rFont val="Arial Narrow"/>
        <family val="2"/>
      </rPr>
      <t>Perlu Bimbingan.</t>
    </r>
  </si>
  <si>
    <r>
      <t xml:space="preserve">Peserta didik mampu menulis Surat lamaran kerja dan daftar riwayat hidup dalam Bahasa inggris secara benar dengan </t>
    </r>
    <r>
      <rPr>
        <b/>
        <sz val="12"/>
        <color theme="1"/>
        <rFont val="Arial Narrow"/>
        <family val="2"/>
      </rPr>
      <t>Sangat Baik.</t>
    </r>
  </si>
  <si>
    <r>
      <t xml:space="preserve">Peserta didik mampu menulis Surat lamaran kerja dan daftar riwayat hidup dalam Bahasa inggris secara benar dengan </t>
    </r>
    <r>
      <rPr>
        <b/>
        <sz val="12"/>
        <color theme="1"/>
        <rFont val="Arial Narrow"/>
        <family val="2"/>
      </rPr>
      <t>Baik.</t>
    </r>
  </si>
  <si>
    <r>
      <t xml:space="preserve">Peserta didik mampu menulis Surat lamaran kerja dan daftar riwayat hidup dalam Bahasa inggris secara benar dengan </t>
    </r>
    <r>
      <rPr>
        <b/>
        <sz val="12"/>
        <color theme="1"/>
        <rFont val="Arial Narrow"/>
        <family val="2"/>
      </rPr>
      <t>Cukup Baik.</t>
    </r>
  </si>
  <si>
    <r>
      <t>Peserta didik belum mampu menulis Surat lamaran kerja dan daftar riwayat hidup dalam Bahasa inggris secara benar dengan</t>
    </r>
    <r>
      <rPr>
        <b/>
        <sz val="12"/>
        <color theme="1"/>
        <rFont val="Arial Narrow"/>
        <family val="2"/>
      </rPr>
      <t xml:space="preserve"> Perlu Bimbingan.</t>
    </r>
  </si>
  <si>
    <r>
      <t xml:space="preserve">Peserta didik mampu memahami konsep peluang menggunakan Kaidah Pencacahan (Pengisian Tempat, Faktorial, Permutasi dan Kombinasi dengan </t>
    </r>
    <r>
      <rPr>
        <b/>
        <sz val="12"/>
        <color theme="1"/>
        <rFont val="Arial Narrow"/>
        <family val="2"/>
      </rPr>
      <t>Sangat Baik.</t>
    </r>
  </si>
  <si>
    <r>
      <t xml:space="preserve">Peserta didik mampu memahami konsep peluang menggunakan Kaidah Pencacahan (Pengisian Tempat, Faktorial, Permutasi dan Kombinasi dengan </t>
    </r>
    <r>
      <rPr>
        <b/>
        <sz val="12"/>
        <color theme="1"/>
        <rFont val="Arial Narrow"/>
        <family val="2"/>
      </rPr>
      <t>Baik.</t>
    </r>
  </si>
  <si>
    <r>
      <t xml:space="preserve">Peserta didik mampu memahami konsep peluang menggunakan Kaidah Pencacahan (Pengisian Tempat, Faktorial, Permutasi dan Kombinasi dengan </t>
    </r>
    <r>
      <rPr>
        <b/>
        <sz val="12"/>
        <color theme="1"/>
        <rFont val="Arial Narrow"/>
        <family val="2"/>
      </rPr>
      <t>Cukup Baik.</t>
    </r>
  </si>
  <si>
    <r>
      <t xml:space="preserve">Peserta didik belum mampu memahami konsep peluang menggunakan Kaidah Pencacahan (Pengisian Tempat, Faktorial, Permutasi dan Kombinasi dengan </t>
    </r>
    <r>
      <rPr>
        <b/>
        <sz val="12"/>
        <color theme="1"/>
        <rFont val="Arial Narrow"/>
        <family val="2"/>
      </rPr>
      <t>Perlu Bimbingan.</t>
    </r>
  </si>
  <si>
    <r>
      <t xml:space="preserve">Peserta didik mampu menjelaskan peran dan kewajiban warga negara Indonesia dalam menjaga persatuan dan kesatuan bangsa dengan </t>
    </r>
    <r>
      <rPr>
        <b/>
        <sz val="12"/>
        <color theme="1"/>
        <rFont val="Arial Narrow"/>
        <family val="2"/>
      </rPr>
      <t>Sangat Baik.</t>
    </r>
  </si>
  <si>
    <r>
      <t xml:space="preserve">Peserta didik mampu menjelaskan peran dan kewajiban warga negara Indonesia dalam menjaga persatuan dan kesatuan bangsa dengan </t>
    </r>
    <r>
      <rPr>
        <b/>
        <sz val="12"/>
        <color theme="1"/>
        <rFont val="Arial Narrow"/>
        <family val="2"/>
      </rPr>
      <t>Baik.</t>
    </r>
  </si>
  <si>
    <r>
      <t xml:space="preserve">Peserta didik mampu menjelaskan peran dan kewajiban warga negara Indonesia dalam menjaga persatuan dan kesatuan bangsa dengan </t>
    </r>
    <r>
      <rPr>
        <b/>
        <sz val="12"/>
        <color theme="1"/>
        <rFont val="Arial Narrow"/>
        <family val="2"/>
      </rPr>
      <t>Cukup Baik.</t>
    </r>
  </si>
  <si>
    <r>
      <t xml:space="preserve">Peserta didik belum mampu menjelaskan peran dan kewajiban warga negara Indonesia dalam menjaga persatuan dan kesatuan bangsa dengan </t>
    </r>
    <r>
      <rPr>
        <b/>
        <sz val="12"/>
        <color theme="1"/>
        <rFont val="Arial Narrow"/>
        <family val="2"/>
      </rPr>
      <t>Perlu Bimbingan.</t>
    </r>
  </si>
  <si>
    <r>
      <t xml:space="preserve">Peserta didik mampu menerapkan etika berkomunikasi secara lisan dan tulisan, integritas antara lain; jujur, disiplin, kemandirian dan tanggung jawab, etos kerja secara mandiri dan secara tim. Kependudukan sosial dan lingkungan, serta ketaatan terhadap norma, K3LH dan POS juga berlaku di dunia kerja dengan </t>
    </r>
    <r>
      <rPr>
        <b/>
        <sz val="12"/>
        <color theme="1"/>
        <rFont val="Arial Narrow"/>
        <family val="2"/>
      </rPr>
      <t>Sangat Baik.</t>
    </r>
  </si>
  <si>
    <r>
      <t xml:space="preserve">Peserta didik belum mampu menerapkan etika berkomunikasi secara lisan dan tulisan, integritas antara lain; jujur, disiplin, kemandirian dan tanggung jawab, etos kerja secara mandiri dan secara tim. Kependudukan sosial dan lingkungan, serta ketaatan terhadap norma, K3LH dan POS juga berlaku di dunia kerja dengan </t>
    </r>
    <r>
      <rPr>
        <b/>
        <sz val="12"/>
        <color theme="1"/>
        <rFont val="Arial Narrow"/>
        <family val="2"/>
      </rPr>
      <t>Perlu Bimbingan.</t>
    </r>
  </si>
  <si>
    <r>
      <t xml:space="preserve">Peserta didik mampu menerapkan etika berkomunikasi secara lisan dan tulisan, integritas antara lain; jujur, disiplin, kemandirian dan tanggung jawab, etos kerja secara mandiri dan secara tim. Kependudukan sosial dan lingkungan, serta ketaatan terhadap norma, K3LH dan POS juga berlaku di dunia kerja dengan </t>
    </r>
    <r>
      <rPr>
        <b/>
        <sz val="12"/>
        <color theme="1"/>
        <rFont val="Arial Narrow"/>
        <family val="2"/>
      </rPr>
      <t>Cukup Baik.</t>
    </r>
  </si>
  <si>
    <r>
      <t xml:space="preserve">Peserta didik mampu menerapkan etika berkomunikasi secara lisan dan tulisan, integritas antara lain; jujur, disiplin, kemandirian dan tanggung jawab, etos kerja secara mandiri dan secara tim. Kependudukan sosial dan lingkungan, serta ketaatan terhadap norma, K3LH dan POS juga berlaku di dunia kerja dengan </t>
    </r>
    <r>
      <rPr>
        <b/>
        <sz val="12"/>
        <color theme="1"/>
        <rFont val="Arial Narrow"/>
        <family val="2"/>
      </rPr>
      <t>Baik.</t>
    </r>
  </si>
  <si>
    <r>
      <t xml:space="preserve">Peserta didik mampu membuat bukti transaksi pada Perusahaan Jasa dengan </t>
    </r>
    <r>
      <rPr>
        <b/>
        <sz val="12"/>
        <color theme="1"/>
        <rFont val="Arial Narrow"/>
        <family val="2"/>
      </rPr>
      <t>Sangat Baik.</t>
    </r>
  </si>
  <si>
    <r>
      <t xml:space="preserve">Peserta didik mampu membuat bukti transaksi pada Perusahaan Jasa dengan </t>
    </r>
    <r>
      <rPr>
        <b/>
        <sz val="12"/>
        <color theme="1"/>
        <rFont val="Arial Narrow"/>
        <family val="2"/>
      </rPr>
      <t>Baik.</t>
    </r>
  </si>
  <si>
    <r>
      <t xml:space="preserve">Peserta didik mampu membuat bukti transaksi pada Perusahaan Jasa dengan </t>
    </r>
    <r>
      <rPr>
        <b/>
        <sz val="12"/>
        <color theme="1"/>
        <rFont val="Arial Narrow"/>
        <family val="2"/>
      </rPr>
      <t>Cukup Baik.</t>
    </r>
  </si>
  <si>
    <r>
      <t xml:space="preserve">Peserta didik belum mampu membuat bukti transaksi pada Perusahaan Jasa dan </t>
    </r>
    <r>
      <rPr>
        <b/>
        <sz val="12"/>
        <color theme="1"/>
        <rFont val="Arial Narrow"/>
        <family val="2"/>
      </rPr>
      <t>Perlu Bimbingan</t>
    </r>
  </si>
  <si>
    <r>
      <t xml:space="preserve">Peserta didik mampu membaca peluang usaha dengan mengidentifikasi potensi yang ada di lingkungan internal dan eksternal SMK serta menetapkan jenis usaha, memasarkan produk dengan menentukan segmen pasar, menentukan harga produk, dan menentukan media yang digunakan untuk memasarkan produk dengan </t>
    </r>
    <r>
      <rPr>
        <b/>
        <sz val="12"/>
        <rFont val="Arial Narrow"/>
        <family val="2"/>
      </rPr>
      <t>Cukup Baik.</t>
    </r>
  </si>
  <si>
    <r>
      <t xml:space="preserve">Peserta didik mampu membaca peluang usaha dengan mengidentifikasi potensi yang ada di lingkungan internal dan eksternal SMK serta menetapkan jenis usaha, memasarkan produk dengan menentukan segmen pasar, menentukan harga produk, dan menentukan media yang digunakan untuk memasarkan produk dengan </t>
    </r>
    <r>
      <rPr>
        <b/>
        <sz val="12"/>
        <rFont val="Arial Narrow"/>
        <family val="2"/>
      </rPr>
      <t>Baik.</t>
    </r>
  </si>
  <si>
    <r>
      <t xml:space="preserve">Peserta didik mampu membaca peluang usaha dengan mengidentifikasi potensi yang ada di lingkungan internal dan eksternal SMK serta menetapkan jenis usaha, memasarkan produk dengan menentukan segmen pasar, menentukan harga produk, dan menentukan media yang digunakan untuk memasarkan produk dengan </t>
    </r>
    <r>
      <rPr>
        <b/>
        <sz val="12"/>
        <rFont val="Arial Narrow"/>
        <family val="2"/>
      </rPr>
      <t>Sangat Baik.</t>
    </r>
  </si>
  <si>
    <r>
      <t xml:space="preserve">Peserta didik belum mampu menerapkan penggunaan layer untuk pengelolaan objek dalam desain dan </t>
    </r>
    <r>
      <rPr>
        <b/>
        <sz val="12"/>
        <color theme="1"/>
        <rFont val="Arial Narrow"/>
        <family val="2"/>
      </rPr>
      <t>Perlu Bimbingan.</t>
    </r>
  </si>
  <si>
    <r>
      <t xml:space="preserve">Peserta didik mampu menerapkan penggunaan layer untuk pengelolaan objek dalam desain dengan </t>
    </r>
    <r>
      <rPr>
        <b/>
        <sz val="12"/>
        <color theme="1"/>
        <rFont val="Arial Narrow"/>
        <family val="2"/>
      </rPr>
      <t>Cukup Baik.</t>
    </r>
  </si>
  <si>
    <r>
      <t xml:space="preserve">Peserta didik mampu menerapkan penggunaan layer untuk pengelolaan objek dalam desain dengan </t>
    </r>
    <r>
      <rPr>
        <b/>
        <sz val="12"/>
        <color theme="1"/>
        <rFont val="Arial Narrow"/>
        <family val="2"/>
      </rPr>
      <t>Baik.</t>
    </r>
  </si>
  <si>
    <r>
      <t xml:space="preserve">Peserta didik mampu menerapkan penggunaan layer untuk pengelolaan objek dalam desain dengan </t>
    </r>
    <r>
      <rPr>
        <b/>
        <sz val="12"/>
        <color theme="1"/>
        <rFont val="Arial Narrow"/>
        <family val="2"/>
      </rPr>
      <t>Sangat Baik.</t>
    </r>
  </si>
  <si>
    <t>Pertahankan prestasimu tetapi jangan mudah puas hati</t>
  </si>
  <si>
    <r>
      <t xml:space="preserve">Peserta didik belum Mampu membaca, menghafal Q.S. Al-Baqarah/2: 155-156 dan belum mampu mempraktekkan Da’wah (Ceramah, Pidato, Khutbah), dzikir dan do’a setelah shalat Fardhu, serta tahlil dengan </t>
    </r>
    <r>
      <rPr>
        <b/>
        <sz val="12"/>
        <color theme="1"/>
        <rFont val="Arial Narrow"/>
        <family val="2"/>
      </rPr>
      <t>Perlu</t>
    </r>
    <r>
      <rPr>
        <sz val="12"/>
        <color theme="1"/>
        <rFont val="Arial Narrow"/>
        <family val="2"/>
      </rPr>
      <t xml:space="preserve"> </t>
    </r>
    <r>
      <rPr>
        <b/>
        <sz val="12"/>
        <color theme="1"/>
        <rFont val="Arial Narrow"/>
        <family val="2"/>
      </rPr>
      <t>Bimbingan</t>
    </r>
  </si>
  <si>
    <r>
      <t xml:space="preserve">Peserta didik Mampu membaca, menghafal Q.S. Al-Baqarah/2: 155-156 dan mampu mempraktekkan Da’wah (Ceramah, Pidato, Khutbah), dzikir dan do’a setelah shalat Fardhu, serta tahlil dengan </t>
    </r>
    <r>
      <rPr>
        <b/>
        <sz val="12"/>
        <color theme="1"/>
        <rFont val="Arial Narrow"/>
        <family val="2"/>
      </rPr>
      <t>Cukup Baik.</t>
    </r>
  </si>
  <si>
    <r>
      <t xml:space="preserve">Peserta didik Mampu membaca, menghafal Q.S. Al-Baqarah/2: 155-156 dan mampu mempraktekkan Da’wah (Ceramah, Pidato, Khutbah), dzikir dan do’a setelah shalat Fardhu, serta tahlil dengan </t>
    </r>
    <r>
      <rPr>
        <b/>
        <sz val="12"/>
        <color theme="1"/>
        <rFont val="Arial Narrow"/>
        <family val="2"/>
      </rPr>
      <t>Baik.</t>
    </r>
  </si>
  <si>
    <r>
      <t xml:space="preserve">Peserta didik Mampu membaca, menghafal Q.S. Al-Baqarah/2: 155-156 dan mampu mempraktekkan Da’wah (Ceramah, Pidato, Khutbah), dzikir dan do’a setelah shalat Fardhu, serta tahlil dengan lancar dan </t>
    </r>
    <r>
      <rPr>
        <b/>
        <sz val="12"/>
        <color theme="1"/>
        <rFont val="Arial Narrow"/>
        <family val="2"/>
      </rPr>
      <t>Sangat Baik.</t>
    </r>
  </si>
  <si>
    <r>
      <t>Peserta didik  belum mampu membaca peluang usaha dengan mengidentifikasi potensi yang ada di lingkungan internal dan eksternal SMK serta menetapkan jenis usaha, memasarkan produk dengan menentukan segmen pasar, menentukan harga produk, dan menentukan media yang digunakan untuk memasarkan produk dengan</t>
    </r>
    <r>
      <rPr>
        <b/>
        <sz val="12"/>
        <rFont val="Arial Narrow"/>
        <family val="2"/>
      </rPr>
      <t xml:space="preserve"> Perlu Bimbingan.</t>
    </r>
  </si>
  <si>
    <t>Pertahankan peringkat pertamamu untuk pembelajaran semester ini</t>
  </si>
  <si>
    <t>Prestasimu sudah cukup baik, tetapi tingkatkan belajarmu</t>
  </si>
  <si>
    <t>Tingkatkan kembali belajarmu</t>
  </si>
  <si>
    <t>Jangan menyerah, tingkatkan kembali belajarmu</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</si>
</sst>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 * \ &quot;:&quot;"/>
  </numFmts>
  <fonts count="30" x14ac:knownFonts="1">
    <font>
      <sz val="12"/>
      <color theme="1"/>
      <name val="Calibri"/>
      <family val="2"/>
      <scheme val="minor"/>
    </font>
    <font>
      <b/>
      <u/>
      <sz val="12"/>
      <color indexed="8"/>
      <name val="Arial Narrow"/>
      <family val="2"/>
    </font>
    <font>
      <b/>
      <sz val="20"/>
      <color indexed="8"/>
      <name val="Arial Narrow"/>
      <family val="2"/>
    </font>
    <font>
      <b/>
      <sz val="20"/>
      <color indexed="10"/>
      <name val="Arial Narrow"/>
      <family val="2"/>
    </font>
    <font>
      <sz val="12"/>
      <name val="Arial Narrow"/>
      <family val="2"/>
    </font>
    <font>
      <sz val="8"/>
      <name val="Calibri"/>
      <family val="2"/>
    </font>
    <font>
      <sz val="11"/>
      <color theme="1"/>
      <name val="Calibri"/>
      <family val="2"/>
      <scheme val="minor"/>
    </font>
    <font>
      <sz val="12"/>
      <color theme="1"/>
      <name val="Arial Narrow"/>
      <family val="2"/>
    </font>
    <font>
      <b/>
      <sz val="12"/>
      <color theme="1"/>
      <name val="Arial Narrow"/>
      <family val="2"/>
    </font>
    <font>
      <b/>
      <sz val="20"/>
      <color theme="1"/>
      <name val="Arial Narrow"/>
      <family val="2"/>
    </font>
    <font>
      <b/>
      <sz val="16"/>
      <color theme="1"/>
      <name val="Arial Narrow"/>
      <family val="2"/>
    </font>
    <font>
      <b/>
      <i/>
      <sz val="12"/>
      <color theme="1"/>
      <name val="Calibri"/>
      <family val="2"/>
      <scheme val="minor"/>
    </font>
    <font>
      <i/>
      <sz val="20"/>
      <color theme="1"/>
      <name val="Calibri"/>
      <family val="2"/>
      <scheme val="minor"/>
    </font>
    <font>
      <b/>
      <i/>
      <sz val="12"/>
      <color theme="1"/>
      <name val="Arial Narrow"/>
      <family val="2"/>
    </font>
    <font>
      <b/>
      <sz val="20"/>
      <color rgb="FFFF0000"/>
      <name val="Arial Narrow"/>
      <family val="2"/>
    </font>
    <font>
      <b/>
      <u/>
      <sz val="12"/>
      <color theme="1"/>
      <name val="Arial Narrow"/>
      <family val="2"/>
    </font>
    <font>
      <u/>
      <sz val="12"/>
      <color theme="1"/>
      <name val="Arial Narrow"/>
      <family val="2"/>
    </font>
    <font>
      <sz val="10"/>
      <color theme="1"/>
      <name val="Arial Narrow"/>
      <family val="2"/>
    </font>
    <font>
      <b/>
      <sz val="11"/>
      <color theme="1"/>
      <name val="Arial Narrow"/>
      <family val="2"/>
    </font>
    <font>
      <b/>
      <sz val="18"/>
      <color theme="1"/>
      <name val="Aharoni"/>
    </font>
    <font>
      <b/>
      <sz val="10"/>
      <color theme="1"/>
      <name val="Calibri"/>
      <family val="2"/>
      <scheme val="minor"/>
    </font>
    <font>
      <b/>
      <sz val="10"/>
      <color theme="1"/>
      <name val="Arial Narrow"/>
      <family val="2"/>
    </font>
    <font>
      <b/>
      <sz val="12"/>
      <color rgb="FFFF0000"/>
      <name val="Arial Narrow"/>
      <family val="2"/>
    </font>
    <font>
      <sz val="11"/>
      <name val="Calibri"/>
      <family val="2"/>
      <scheme val="minor"/>
    </font>
    <font>
      <sz val="11"/>
      <name val="Arial Narrow"/>
      <family val="2"/>
    </font>
    <font>
      <sz val="12"/>
      <color rgb="FFFF0000"/>
      <name val="Arial Narrow"/>
      <family val="2"/>
    </font>
    <font>
      <sz val="10"/>
      <name val="Arial Narrow"/>
      <family val="2"/>
    </font>
    <font>
      <b/>
      <sz val="12"/>
      <name val="Arial Narrow"/>
      <family val="2"/>
    </font>
    <font>
      <sz val="11"/>
      <color theme="1"/>
      <name val="Arial Narrow"/>
      <family val="2"/>
    </font>
    <font>
      <sz val="12"/>
      <color rgb="FFFF000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rgb="FF00FFFF"/>
        <bgColor indexed="64"/>
      </patternFill>
    </fill>
    <fill>
      <patternFill patternType="solid">
        <fgColor rgb="FF3366FF"/>
        <bgColor indexed="64"/>
      </patternFill>
    </fill>
    <fill>
      <patternFill patternType="solid">
        <fgColor rgb="FF92D05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rgb="FFFFCCFF"/>
        <bgColor indexed="64"/>
      </patternFill>
    </fill>
    <fill>
      <patternFill patternType="solid">
        <fgColor theme="3" tint="0.59999389629810485"/>
        <bgColor indexed="64"/>
      </patternFill>
    </fill>
    <fill>
      <patternFill patternType="solid">
        <fgColor rgb="FFFF0000"/>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top/>
      <bottom style="dashed">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diagonal/>
    </border>
    <border>
      <left style="thin">
        <color indexed="64"/>
      </left>
      <right/>
      <top style="thin">
        <color indexed="64"/>
      </top>
      <bottom style="medium">
        <color indexed="64"/>
      </bottom>
      <diagonal/>
    </border>
    <border>
      <left style="double">
        <color indexed="64"/>
      </left>
      <right/>
      <top/>
      <bottom style="medium">
        <color indexed="64"/>
      </bottom>
      <diagonal/>
    </border>
    <border>
      <left style="thin">
        <color indexed="64"/>
      </left>
      <right/>
      <top/>
      <bottom/>
      <diagonal/>
    </border>
    <border>
      <left/>
      <right style="double">
        <color indexed="64"/>
      </right>
      <top style="medium">
        <color indexed="64"/>
      </top>
      <bottom style="thin">
        <color indexed="64"/>
      </bottom>
      <diagonal/>
    </border>
    <border>
      <left/>
      <right style="double">
        <color indexed="64"/>
      </right>
      <top style="thin">
        <color indexed="64"/>
      </top>
      <bottom style="medium">
        <color indexed="64"/>
      </bottom>
      <diagonal/>
    </border>
    <border>
      <left style="double">
        <color indexed="64"/>
      </left>
      <right/>
      <top style="medium">
        <color indexed="64"/>
      </top>
      <bottom style="medium">
        <color indexed="64"/>
      </bottom>
      <diagonal/>
    </border>
    <border>
      <left style="medium">
        <color indexed="64"/>
      </left>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s>
  <cellStyleXfs count="4">
    <xf numFmtId="0" fontId="0" fillId="0" borderId="0"/>
    <xf numFmtId="0" fontId="6" fillId="0" borderId="0"/>
    <xf numFmtId="0" fontId="6" fillId="0" borderId="0"/>
    <xf numFmtId="0" fontId="6" fillId="0" borderId="0"/>
  </cellStyleXfs>
  <cellXfs count="335">
    <xf numFmtId="0" fontId="0" fillId="0" borderId="0" xfId="0"/>
    <xf numFmtId="0" fontId="7" fillId="0" borderId="0" xfId="0" applyFont="1"/>
    <xf numFmtId="0" fontId="8" fillId="0" borderId="0" xfId="0" applyFont="1"/>
    <xf numFmtId="0" fontId="7" fillId="0" borderId="1" xfId="0" applyFont="1" applyBorder="1" applyAlignment="1">
      <alignment horizontal="center" vertical="center"/>
    </xf>
    <xf numFmtId="0" fontId="7" fillId="0" borderId="0" xfId="0" applyFont="1" applyAlignment="1">
      <alignment horizontal="left" vertical="center"/>
    </xf>
    <xf numFmtId="0" fontId="7" fillId="0" borderId="1" xfId="0" applyFont="1" applyBorder="1" applyAlignment="1">
      <alignment horizontal="left" vertical="center"/>
    </xf>
    <xf numFmtId="0" fontId="8" fillId="0" borderId="1" xfId="0" applyFont="1" applyBorder="1" applyAlignment="1">
      <alignment horizontal="center" vertical="center"/>
    </xf>
    <xf numFmtId="0" fontId="9" fillId="0" borderId="0" xfId="0" applyFont="1"/>
    <xf numFmtId="0" fontId="7" fillId="0" borderId="0" xfId="0" applyFont="1" applyBorder="1"/>
    <xf numFmtId="0" fontId="10" fillId="0" borderId="0" xfId="0" applyFont="1"/>
    <xf numFmtId="0" fontId="11" fillId="0" borderId="0" xfId="0" applyFont="1" applyAlignment="1">
      <alignment horizontal="center" vertical="center"/>
    </xf>
    <xf numFmtId="0" fontId="7" fillId="0" borderId="0" xfId="0" applyFont="1" applyAlignment="1">
      <alignment horizontal="center" vertical="center"/>
    </xf>
    <xf numFmtId="0" fontId="7" fillId="0" borderId="1" xfId="0" applyFont="1" applyBorder="1" applyAlignment="1">
      <alignment horizontal="left" vertical="center" wrapText="1" shrinkToFit="1"/>
    </xf>
    <xf numFmtId="0" fontId="12" fillId="0" borderId="0" xfId="0" applyFont="1"/>
    <xf numFmtId="0" fontId="7" fillId="0" borderId="2" xfId="0" applyFont="1" applyBorder="1" applyAlignment="1">
      <alignment horizontal="left" vertical="center"/>
    </xf>
    <xf numFmtId="0" fontId="7" fillId="0" borderId="0" xfId="0" applyFont="1" applyBorder="1" applyAlignment="1">
      <alignment horizontal="left" vertical="center"/>
    </xf>
    <xf numFmtId="0" fontId="7" fillId="0" borderId="0" xfId="0" applyFont="1" applyBorder="1" applyAlignment="1">
      <alignment horizontal="center" vertical="center"/>
    </xf>
    <xf numFmtId="0" fontId="7" fillId="0" borderId="1" xfId="0" quotePrefix="1"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5" xfId="0" applyFont="1" applyFill="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left" vertical="center" shrinkToFit="1"/>
    </xf>
    <xf numFmtId="0" fontId="7" fillId="0" borderId="0" xfId="0" applyFont="1" applyAlignment="1">
      <alignment horizontal="left" vertical="center"/>
    </xf>
    <xf numFmtId="0" fontId="13" fillId="0" borderId="0" xfId="0" applyFont="1" applyAlignment="1">
      <alignment horizontal="center"/>
    </xf>
    <xf numFmtId="0" fontId="7" fillId="0" borderId="0" xfId="0" applyFont="1" applyBorder="1" applyAlignment="1">
      <alignment horizontal="left" vertical="center" shrinkToFit="1"/>
    </xf>
    <xf numFmtId="49" fontId="7" fillId="0" borderId="0" xfId="0" applyNumberFormat="1" applyFont="1" applyBorder="1" applyAlignment="1">
      <alignment horizontal="center" vertical="center"/>
    </xf>
    <xf numFmtId="0" fontId="7" fillId="0" borderId="0" xfId="0" quotePrefix="1" applyFont="1" applyBorder="1" applyAlignment="1">
      <alignment horizontal="center" vertical="center"/>
    </xf>
    <xf numFmtId="0" fontId="7" fillId="0" borderId="5" xfId="0" applyFont="1" applyBorder="1" applyAlignment="1">
      <alignment horizontal="left" vertical="center" shrinkToFit="1"/>
    </xf>
    <xf numFmtId="49" fontId="7" fillId="0" borderId="5" xfId="0" applyNumberFormat="1" applyFont="1" applyBorder="1" applyAlignment="1">
      <alignment horizontal="center" vertical="center"/>
    </xf>
    <xf numFmtId="49" fontId="7" fillId="0" borderId="6" xfId="0" applyNumberFormat="1" applyFont="1" applyBorder="1" applyAlignment="1">
      <alignment horizontal="center" vertical="center"/>
    </xf>
    <xf numFmtId="0" fontId="7" fillId="0" borderId="7" xfId="0" quotePrefix="1" applyFont="1" applyBorder="1" applyAlignment="1">
      <alignment horizontal="center" vertical="center"/>
    </xf>
    <xf numFmtId="0" fontId="7" fillId="0" borderId="8" xfId="0" quotePrefix="1" applyFont="1" applyBorder="1" applyAlignment="1">
      <alignment horizontal="center" vertical="center"/>
    </xf>
    <xf numFmtId="0" fontId="7" fillId="0" borderId="9" xfId="0" quotePrefix="1" applyFont="1" applyBorder="1" applyAlignment="1">
      <alignment horizontal="center" vertical="center"/>
    </xf>
    <xf numFmtId="0" fontId="7" fillId="0" borderId="10" xfId="0" quotePrefix="1" applyFont="1" applyBorder="1" applyAlignment="1">
      <alignment horizontal="center" vertical="center"/>
    </xf>
    <xf numFmtId="0" fontId="7" fillId="0" borderId="11" xfId="0" applyFont="1" applyBorder="1" applyAlignment="1">
      <alignment horizontal="center" vertical="center"/>
    </xf>
    <xf numFmtId="0" fontId="7" fillId="0" borderId="11" xfId="0" quotePrefix="1" applyFont="1" applyBorder="1" applyAlignment="1">
      <alignment horizontal="center" vertical="center"/>
    </xf>
    <xf numFmtId="0" fontId="7" fillId="0" borderId="12" xfId="0" quotePrefix="1" applyFont="1" applyBorder="1" applyAlignment="1">
      <alignment horizontal="center" vertical="center"/>
    </xf>
    <xf numFmtId="0" fontId="7" fillId="0" borderId="13" xfId="0" quotePrefix="1" applyFont="1" applyBorder="1" applyAlignment="1">
      <alignment horizontal="center" vertical="center"/>
    </xf>
    <xf numFmtId="0" fontId="7" fillId="0" borderId="14" xfId="0" quotePrefix="1" applyFont="1" applyBorder="1" applyAlignment="1">
      <alignment horizontal="center" vertical="center"/>
    </xf>
    <xf numFmtId="0" fontId="7" fillId="0" borderId="15" xfId="0" quotePrefix="1" applyFont="1" applyBorder="1" applyAlignment="1">
      <alignment horizontal="center" vertical="center"/>
    </xf>
    <xf numFmtId="0" fontId="7" fillId="0" borderId="16" xfId="0" quotePrefix="1" applyFont="1" applyBorder="1" applyAlignment="1">
      <alignment horizontal="center" vertical="center"/>
    </xf>
    <xf numFmtId="0" fontId="7" fillId="0" borderId="17" xfId="0" quotePrefix="1" applyFont="1" applyBorder="1" applyAlignment="1">
      <alignment horizontal="center" vertical="center"/>
    </xf>
    <xf numFmtId="0" fontId="7" fillId="0" borderId="18" xfId="0" applyFont="1" applyBorder="1" applyAlignment="1">
      <alignment horizontal="center" vertical="center"/>
    </xf>
    <xf numFmtId="0" fontId="7" fillId="0" borderId="3" xfId="0" applyFont="1" applyBorder="1" applyAlignment="1">
      <alignment horizontal="left" vertical="center" shrinkToFit="1"/>
    </xf>
    <xf numFmtId="49" fontId="7" fillId="0" borderId="3" xfId="0" applyNumberFormat="1" applyFont="1" applyBorder="1" applyAlignment="1">
      <alignment horizontal="center" vertical="center"/>
    </xf>
    <xf numFmtId="0" fontId="7" fillId="0" borderId="18" xfId="0" quotePrefix="1" applyFont="1" applyBorder="1" applyAlignment="1">
      <alignment horizontal="center" vertical="center"/>
    </xf>
    <xf numFmtId="0" fontId="7" fillId="0" borderId="19" xfId="0" quotePrefix="1" applyFont="1" applyBorder="1" applyAlignment="1">
      <alignment horizontal="center" vertical="center"/>
    </xf>
    <xf numFmtId="0" fontId="7" fillId="0" borderId="20" xfId="0" quotePrefix="1" applyFont="1" applyBorder="1" applyAlignment="1">
      <alignment horizontal="center" vertical="center"/>
    </xf>
    <xf numFmtId="0" fontId="7" fillId="0" borderId="21" xfId="0" quotePrefix="1" applyFont="1" applyBorder="1" applyAlignment="1">
      <alignment horizontal="center" vertical="center"/>
    </xf>
    <xf numFmtId="0" fontId="7" fillId="0" borderId="22" xfId="0" quotePrefix="1"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7" fillId="0" borderId="12" xfId="0" applyFont="1" applyBorder="1" applyAlignment="1">
      <alignment horizontal="center" vertical="center"/>
    </xf>
    <xf numFmtId="49" fontId="7" fillId="0" borderId="28" xfId="0" applyNumberFormat="1" applyFont="1" applyBorder="1" applyAlignment="1">
      <alignment horizontal="center" vertical="center"/>
    </xf>
    <xf numFmtId="49" fontId="7" fillId="0" borderId="29" xfId="0" applyNumberFormat="1" applyFont="1" applyBorder="1" applyAlignment="1">
      <alignment horizontal="center" vertical="center"/>
    </xf>
    <xf numFmtId="0" fontId="7" fillId="0" borderId="30" xfId="0" quotePrefix="1" applyFont="1" applyBorder="1" applyAlignment="1">
      <alignment horizontal="center" vertical="center"/>
    </xf>
    <xf numFmtId="0" fontId="7" fillId="0" borderId="31" xfId="0" applyFont="1" applyBorder="1" applyAlignment="1">
      <alignment horizontal="center" vertical="center"/>
    </xf>
    <xf numFmtId="49" fontId="7" fillId="0" borderId="2" xfId="0" applyNumberFormat="1" applyFont="1" applyBorder="1" applyAlignment="1">
      <alignment horizontal="center" vertical="center"/>
    </xf>
    <xf numFmtId="0" fontId="7" fillId="0" borderId="0" xfId="0" applyFont="1" applyAlignment="1">
      <alignment horizontal="left" vertical="center"/>
    </xf>
    <xf numFmtId="0" fontId="14" fillId="3" borderId="0" xfId="0" applyFont="1" applyFill="1" applyAlignment="1" applyProtection="1">
      <alignment horizontal="center" vertical="center"/>
      <protection locked="0"/>
    </xf>
    <xf numFmtId="0" fontId="7" fillId="0" borderId="0" xfId="0" applyFont="1" applyProtection="1">
      <protection locked="0"/>
    </xf>
    <xf numFmtId="0" fontId="7" fillId="0" borderId="0" xfId="0" applyFont="1" applyBorder="1" applyAlignment="1" applyProtection="1">
      <alignment horizontal="center" vertical="center"/>
      <protection locked="0" hidden="1"/>
    </xf>
    <xf numFmtId="0" fontId="7" fillId="0" borderId="0" xfId="0" applyFont="1" applyBorder="1" applyAlignment="1" applyProtection="1">
      <alignment horizontal="left" vertical="center" wrapText="1"/>
      <protection locked="0" hidden="1"/>
    </xf>
    <xf numFmtId="0" fontId="7" fillId="0" borderId="0" xfId="0" applyFont="1" applyBorder="1" applyAlignment="1" applyProtection="1">
      <alignment horizontal="left" vertical="center"/>
      <protection locked="0" hidden="1"/>
    </xf>
    <xf numFmtId="0" fontId="7" fillId="0" borderId="0" xfId="0" applyFont="1" applyProtection="1">
      <protection locked="0" hidden="1"/>
    </xf>
    <xf numFmtId="0" fontId="7" fillId="0" borderId="0" xfId="0" applyFont="1" applyBorder="1" applyAlignment="1" applyProtection="1">
      <alignment vertical="center"/>
      <protection locked="0" hidden="1"/>
    </xf>
    <xf numFmtId="0" fontId="7" fillId="0" borderId="0" xfId="0" applyFont="1" applyBorder="1" applyAlignment="1" applyProtection="1">
      <alignment horizontal="left"/>
      <protection locked="0" hidden="1"/>
    </xf>
    <xf numFmtId="0" fontId="7" fillId="0" borderId="0" xfId="0" applyFont="1" applyProtection="1">
      <protection hidden="1"/>
    </xf>
    <xf numFmtId="0" fontId="7" fillId="0" borderId="0" xfId="0" applyFont="1" applyFill="1" applyBorder="1"/>
    <xf numFmtId="0" fontId="7" fillId="0" borderId="0" xfId="0" applyFont="1" applyFill="1" applyBorder="1" applyAlignment="1">
      <alignment horizontal="left" vertical="center"/>
    </xf>
    <xf numFmtId="0" fontId="7" fillId="0" borderId="0" xfId="0" applyFont="1" applyAlignment="1">
      <alignment horizontal="center"/>
    </xf>
    <xf numFmtId="0" fontId="8" fillId="0" borderId="1" xfId="0" applyFont="1" applyBorder="1" applyAlignment="1">
      <alignment horizontal="center" vertical="center"/>
    </xf>
    <xf numFmtId="0" fontId="8" fillId="0" borderId="0" xfId="0" applyFont="1" applyAlignment="1" applyProtection="1">
      <alignment vertical="center"/>
      <protection hidden="1"/>
    </xf>
    <xf numFmtId="0" fontId="8" fillId="0" borderId="0" xfId="0" applyFont="1" applyAlignment="1">
      <alignment horizontal="center"/>
    </xf>
    <xf numFmtId="164" fontId="8" fillId="0" borderId="0" xfId="0" applyNumberFormat="1" applyFont="1"/>
    <xf numFmtId="164" fontId="7" fillId="0" borderId="0" xfId="0" applyNumberFormat="1" applyFont="1"/>
    <xf numFmtId="0" fontId="14" fillId="0" borderId="0" xfId="0" applyFont="1" applyFill="1" applyAlignment="1" applyProtection="1">
      <alignment horizontal="center" vertical="center"/>
      <protection locked="0"/>
    </xf>
    <xf numFmtId="0" fontId="8" fillId="0" borderId="0" xfId="0" applyFont="1" applyProtection="1">
      <protection hidden="1"/>
    </xf>
    <xf numFmtId="1" fontId="7" fillId="0" borderId="0" xfId="0" applyNumberFormat="1" applyFont="1" applyBorder="1" applyAlignment="1" applyProtection="1">
      <alignment horizontal="center" vertical="center"/>
      <protection locked="0" hidden="1"/>
    </xf>
    <xf numFmtId="0" fontId="7" fillId="0" borderId="0" xfId="0" applyFont="1" applyAlignment="1" applyProtection="1">
      <alignment horizontal="center"/>
      <protection locked="0" hidden="1"/>
    </xf>
    <xf numFmtId="0" fontId="15" fillId="0" borderId="0" xfId="0" applyFont="1" applyBorder="1" applyAlignment="1" applyProtection="1">
      <alignment horizontal="left"/>
      <protection locked="0" hidden="1"/>
    </xf>
    <xf numFmtId="0" fontId="1" fillId="0" borderId="0" xfId="0" applyFont="1" applyAlignment="1" applyProtection="1">
      <alignment horizontal="center"/>
      <protection locked="0" hidden="1"/>
    </xf>
    <xf numFmtId="0" fontId="16" fillId="0" borderId="32" xfId="0" applyFont="1" applyBorder="1" applyProtection="1">
      <protection locked="0" hidden="1"/>
    </xf>
    <xf numFmtId="164" fontId="7" fillId="0" borderId="0" xfId="0" applyNumberFormat="1" applyFont="1" applyAlignment="1">
      <alignment horizontal="center"/>
    </xf>
    <xf numFmtId="0" fontId="7" fillId="0" borderId="0" xfId="0" applyFont="1" applyBorder="1" applyAlignment="1" applyProtection="1">
      <alignment horizontal="left" vertical="top" wrapText="1"/>
      <protection locked="0" hidden="1"/>
    </xf>
    <xf numFmtId="164" fontId="7" fillId="0" borderId="0" xfId="0" applyNumberFormat="1" applyFont="1" applyBorder="1" applyAlignment="1" applyProtection="1">
      <alignment horizontal="left" vertical="center"/>
      <protection locked="0" hidden="1"/>
    </xf>
    <xf numFmtId="0" fontId="7" fillId="0" borderId="6" xfId="0" applyFont="1" applyBorder="1" applyAlignment="1" applyProtection="1">
      <alignment horizontal="center" vertical="center"/>
      <protection locked="0" hidden="1"/>
    </xf>
    <xf numFmtId="0" fontId="8" fillId="0" borderId="0" xfId="0" applyFont="1" applyAlignment="1">
      <alignment horizontal="left"/>
    </xf>
    <xf numFmtId="1" fontId="8" fillId="0" borderId="1" xfId="0" applyNumberFormat="1" applyFont="1" applyBorder="1" applyAlignment="1">
      <alignment horizontal="center" vertical="center"/>
    </xf>
    <xf numFmtId="0" fontId="0" fillId="0" borderId="4" xfId="0" applyBorder="1" applyAlignment="1">
      <alignment horizontal="center"/>
    </xf>
    <xf numFmtId="1" fontId="7" fillId="5" borderId="4" xfId="0" applyNumberFormat="1" applyFont="1" applyFill="1" applyBorder="1" applyAlignment="1" applyProtection="1">
      <alignment horizontal="center" vertical="center"/>
      <protection hidden="1"/>
    </xf>
    <xf numFmtId="0" fontId="0" fillId="0" borderId="5" xfId="0" applyBorder="1" applyAlignment="1">
      <alignment horizontal="center"/>
    </xf>
    <xf numFmtId="1" fontId="7" fillId="5" borderId="5" xfId="0" applyNumberFormat="1" applyFont="1" applyFill="1" applyBorder="1" applyAlignment="1" applyProtection="1">
      <alignment horizontal="center" vertical="center"/>
      <protection hidden="1"/>
    </xf>
    <xf numFmtId="0" fontId="7" fillId="0" borderId="5" xfId="0" applyFont="1" applyBorder="1" applyAlignment="1">
      <alignment horizontal="center"/>
    </xf>
    <xf numFmtId="0" fontId="7" fillId="0" borderId="5" xfId="0" applyFont="1" applyBorder="1"/>
    <xf numFmtId="0" fontId="7" fillId="0" borderId="6" xfId="0" applyFont="1" applyBorder="1"/>
    <xf numFmtId="0" fontId="7" fillId="0" borderId="6" xfId="0" applyFont="1" applyBorder="1" applyAlignment="1">
      <alignment horizontal="center"/>
    </xf>
    <xf numFmtId="1" fontId="7" fillId="5" borderId="6" xfId="0" applyNumberFormat="1" applyFont="1" applyFill="1" applyBorder="1" applyAlignment="1" applyProtection="1">
      <alignment horizontal="center" vertical="center"/>
      <protection hidden="1"/>
    </xf>
    <xf numFmtId="0" fontId="0" fillId="0" borderId="6" xfId="0" applyBorder="1" applyAlignment="1">
      <alignment horizontal="center"/>
    </xf>
    <xf numFmtId="0" fontId="18" fillId="0" borderId="0" xfId="0" applyFont="1" applyAlignment="1">
      <alignment horizontal="left" wrapText="1"/>
    </xf>
    <xf numFmtId="0" fontId="8" fillId="0" borderId="0" xfId="0" applyFont="1" applyAlignment="1">
      <alignment horizontal="left" vertical="center"/>
    </xf>
    <xf numFmtId="0" fontId="8" fillId="4" borderId="35" xfId="0" applyFont="1" applyFill="1" applyBorder="1" applyAlignment="1" applyProtection="1">
      <alignment horizontal="center" vertical="center"/>
      <protection locked="0" hidden="1"/>
    </xf>
    <xf numFmtId="0" fontId="8" fillId="4" borderId="35" xfId="0" applyFont="1" applyFill="1" applyBorder="1" applyAlignment="1">
      <alignment horizontal="center" vertical="center"/>
    </xf>
    <xf numFmtId="0" fontId="7" fillId="0" borderId="3" xfId="0" applyFont="1" applyBorder="1" applyAlignment="1" applyProtection="1">
      <alignment horizontal="center" vertical="center"/>
      <protection locked="0"/>
    </xf>
    <xf numFmtId="0" fontId="7" fillId="0" borderId="5"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23" fillId="0" borderId="1" xfId="0" applyFont="1" applyFill="1" applyBorder="1" applyAlignment="1">
      <alignment vertical="center"/>
    </xf>
    <xf numFmtId="0" fontId="7" fillId="0" borderId="0" xfId="0" applyFont="1" applyAlignment="1" applyProtection="1">
      <alignment horizontal="left"/>
      <protection locked="0" hidden="1"/>
    </xf>
    <xf numFmtId="0" fontId="4" fillId="0" borderId="4" xfId="0" applyFont="1" applyBorder="1" applyAlignment="1" applyProtection="1">
      <alignment horizontal="center" vertical="center"/>
      <protection locked="0" hidden="1"/>
    </xf>
    <xf numFmtId="1" fontId="4" fillId="0" borderId="4" xfId="0" applyNumberFormat="1" applyFont="1" applyBorder="1" applyAlignment="1" applyProtection="1">
      <alignment horizontal="center" vertical="center"/>
      <protection locked="0" hidden="1"/>
    </xf>
    <xf numFmtId="0" fontId="26" fillId="0" borderId="4" xfId="0" applyFont="1" applyBorder="1" applyAlignment="1">
      <alignment horizontal="center" vertical="center" wrapText="1"/>
    </xf>
    <xf numFmtId="0" fontId="4" fillId="0" borderId="5" xfId="0" applyFont="1" applyBorder="1" applyAlignment="1" applyProtection="1">
      <alignment horizontal="center" vertical="center"/>
      <protection locked="0" hidden="1"/>
    </xf>
    <xf numFmtId="1" fontId="4" fillId="0" borderId="5" xfId="0" applyNumberFormat="1" applyFont="1" applyBorder="1" applyAlignment="1" applyProtection="1">
      <alignment horizontal="center" vertical="center"/>
      <protection locked="0" hidden="1"/>
    </xf>
    <xf numFmtId="0" fontId="4" fillId="0" borderId="33" xfId="0" applyFont="1" applyBorder="1" applyAlignment="1" applyProtection="1">
      <alignment horizontal="center" vertical="center"/>
      <protection locked="0" hidden="1"/>
    </xf>
    <xf numFmtId="1" fontId="4" fillId="0" borderId="33" xfId="0" applyNumberFormat="1" applyFont="1" applyBorder="1" applyAlignment="1" applyProtection="1">
      <alignment horizontal="center" vertical="center"/>
      <protection locked="0" hidden="1"/>
    </xf>
    <xf numFmtId="0" fontId="4" fillId="0" borderId="3" xfId="0" applyFont="1" applyBorder="1" applyAlignment="1" applyProtection="1">
      <alignment horizontal="center" vertical="center"/>
      <protection locked="0" hidden="1"/>
    </xf>
    <xf numFmtId="1" fontId="4" fillId="0" borderId="3" xfId="0" applyNumberFormat="1" applyFont="1" applyBorder="1" applyAlignment="1" applyProtection="1">
      <alignment horizontal="center" vertical="center"/>
      <protection locked="0" hidden="1"/>
    </xf>
    <xf numFmtId="0" fontId="4" fillId="0" borderId="6" xfId="0" applyFont="1" applyBorder="1" applyAlignment="1" applyProtection="1">
      <alignment horizontal="center" vertical="center"/>
      <protection locked="0" hidden="1"/>
    </xf>
    <xf numFmtId="1" fontId="4" fillId="0" borderId="6" xfId="0" applyNumberFormat="1" applyFont="1" applyBorder="1" applyAlignment="1" applyProtection="1">
      <alignment horizontal="center" vertical="center"/>
      <protection locked="0" hidden="1"/>
    </xf>
    <xf numFmtId="0" fontId="4" fillId="0" borderId="6" xfId="0" applyFont="1" applyBorder="1" applyAlignment="1" applyProtection="1">
      <alignment horizontal="left" vertical="center"/>
      <protection locked="0" hidden="1"/>
    </xf>
    <xf numFmtId="0" fontId="25" fillId="0" borderId="0" xfId="0" applyFont="1"/>
    <xf numFmtId="0" fontId="4" fillId="0" borderId="5" xfId="0" applyFont="1" applyBorder="1" applyAlignment="1">
      <alignment horizontal="center" vertical="center"/>
    </xf>
    <xf numFmtId="0" fontId="7" fillId="0" borderId="35" xfId="0" applyFont="1" applyBorder="1" applyAlignment="1" applyProtection="1">
      <alignment horizontal="center" vertical="center"/>
      <protection locked="0" hidden="1"/>
    </xf>
    <xf numFmtId="1" fontId="7" fillId="0" borderId="35" xfId="0" applyNumberFormat="1" applyFont="1" applyBorder="1" applyAlignment="1" applyProtection="1">
      <alignment horizontal="center" vertical="center"/>
      <protection locked="0" hidden="1"/>
    </xf>
    <xf numFmtId="0" fontId="17" fillId="0" borderId="35" xfId="0" applyFont="1" applyBorder="1" applyAlignment="1">
      <alignment horizontal="center" vertical="center" wrapText="1"/>
    </xf>
    <xf numFmtId="0" fontId="7" fillId="0" borderId="0" xfId="0" applyFont="1" applyFill="1"/>
    <xf numFmtId="0" fontId="7" fillId="0" borderId="0" xfId="0" applyFont="1" applyFill="1" applyAlignment="1">
      <alignment horizontal="center" vertical="center"/>
    </xf>
    <xf numFmtId="0" fontId="8" fillId="4" borderId="42" xfId="0" applyFont="1" applyFill="1" applyBorder="1" applyAlignment="1">
      <alignment horizontal="center" vertical="center"/>
    </xf>
    <xf numFmtId="0" fontId="8" fillId="4" borderId="42" xfId="0" applyFont="1" applyFill="1" applyBorder="1" applyAlignment="1">
      <alignment horizontal="center" vertical="center" wrapText="1"/>
    </xf>
    <xf numFmtId="0" fontId="8" fillId="0" borderId="11"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8" xfId="0" applyFont="1" applyFill="1" applyBorder="1" applyAlignment="1">
      <alignment horizontal="center" vertical="center" wrapText="1"/>
    </xf>
    <xf numFmtId="0" fontId="8" fillId="0" borderId="7" xfId="0" applyFont="1" applyFill="1" applyBorder="1" applyAlignment="1">
      <alignment horizontal="center" vertical="center"/>
    </xf>
    <xf numFmtId="0" fontId="7" fillId="0" borderId="54" xfId="0" applyFont="1" applyBorder="1" applyAlignment="1" applyProtection="1">
      <alignment horizontal="left" vertical="center" indent="1"/>
      <protection locked="0" hidden="1"/>
    </xf>
    <xf numFmtId="0" fontId="7" fillId="0" borderId="55" xfId="0" applyFont="1" applyBorder="1" applyAlignment="1" applyProtection="1">
      <alignment vertical="center"/>
      <protection locked="0" hidden="1"/>
    </xf>
    <xf numFmtId="0" fontId="7" fillId="0" borderId="45" xfId="0" applyFont="1" applyBorder="1" applyAlignment="1" applyProtection="1">
      <alignment horizontal="center" vertical="center"/>
      <protection locked="0" hidden="1"/>
    </xf>
    <xf numFmtId="0" fontId="7" fillId="0" borderId="12" xfId="0" applyFont="1" applyBorder="1" applyAlignment="1" applyProtection="1">
      <alignment horizontal="left" vertical="center" indent="1"/>
      <protection locked="0" hidden="1"/>
    </xf>
    <xf numFmtId="1" fontId="7" fillId="0" borderId="29" xfId="0" applyNumberFormat="1" applyFont="1" applyBorder="1" applyAlignment="1" applyProtection="1">
      <alignment vertical="center"/>
      <protection locked="0" hidden="1"/>
    </xf>
    <xf numFmtId="0" fontId="7" fillId="0" borderId="46" xfId="0" applyFont="1" applyBorder="1" applyAlignment="1" applyProtection="1">
      <alignment horizontal="left" vertical="center"/>
      <protection locked="0" hidden="1"/>
    </xf>
    <xf numFmtId="0" fontId="8" fillId="0" borderId="65" xfId="0" applyFont="1" applyBorder="1"/>
    <xf numFmtId="0" fontId="8" fillId="0" borderId="66" xfId="0" applyFont="1" applyBorder="1"/>
    <xf numFmtId="0" fontId="8" fillId="0" borderId="67" xfId="0" applyFont="1" applyBorder="1"/>
    <xf numFmtId="0" fontId="8" fillId="0" borderId="60" xfId="0" applyFont="1" applyBorder="1"/>
    <xf numFmtId="0" fontId="8" fillId="0" borderId="41" xfId="0" applyFont="1" applyBorder="1"/>
    <xf numFmtId="0" fontId="21" fillId="0" borderId="60" xfId="0" applyFont="1" applyBorder="1" applyAlignment="1">
      <alignment vertical="center" wrapText="1"/>
    </xf>
    <xf numFmtId="0" fontId="21" fillId="0" borderId="0" xfId="0" applyFont="1" applyAlignment="1">
      <alignment vertical="center" wrapText="1" shrinkToFit="1"/>
    </xf>
    <xf numFmtId="0" fontId="21" fillId="0" borderId="41" xfId="0" applyFont="1" applyBorder="1" applyAlignment="1">
      <alignment vertical="center" wrapText="1"/>
    </xf>
    <xf numFmtId="0" fontId="21" fillId="0" borderId="68" xfId="0" applyFont="1" applyBorder="1" applyAlignment="1">
      <alignment vertical="center" wrapText="1"/>
    </xf>
    <xf numFmtId="0" fontId="21" fillId="0" borderId="46" xfId="0" applyFont="1" applyBorder="1" applyAlignment="1">
      <alignment vertical="center" wrapText="1" shrinkToFit="1"/>
    </xf>
    <xf numFmtId="0" fontId="21" fillId="0" borderId="25" xfId="0" applyFont="1" applyBorder="1" applyAlignment="1">
      <alignment vertical="center" wrapText="1"/>
    </xf>
    <xf numFmtId="2" fontId="0" fillId="14" borderId="5" xfId="0" applyNumberFormat="1" applyFill="1" applyBorder="1" applyAlignment="1">
      <alignment horizontal="center"/>
    </xf>
    <xf numFmtId="0" fontId="7" fillId="0" borderId="2" xfId="0" applyFont="1" applyBorder="1"/>
    <xf numFmtId="0" fontId="7" fillId="0" borderId="28" xfId="0" applyFont="1" applyBorder="1" applyAlignment="1">
      <alignment horizontal="left" vertical="center"/>
    </xf>
    <xf numFmtId="0" fontId="7" fillId="0" borderId="28" xfId="0" applyFont="1" applyBorder="1"/>
    <xf numFmtId="2" fontId="7" fillId="0" borderId="21" xfId="0" quotePrefix="1" applyNumberFormat="1" applyFont="1" applyBorder="1" applyAlignment="1">
      <alignment horizontal="center" vertical="center"/>
    </xf>
    <xf numFmtId="0" fontId="7" fillId="0" borderId="1" xfId="0" quotePrefix="1" applyFont="1" applyBorder="1" applyAlignment="1">
      <alignment horizontal="left" vertical="center" indent="1"/>
    </xf>
    <xf numFmtId="0" fontId="7" fillId="0" borderId="13" xfId="0" quotePrefix="1" applyFont="1" applyBorder="1" applyAlignment="1">
      <alignment horizontal="left" vertical="center" indent="1"/>
    </xf>
    <xf numFmtId="0" fontId="7" fillId="0" borderId="4" xfId="0" applyFont="1" applyBorder="1" applyAlignment="1">
      <alignment horizontal="left" vertical="center" shrinkToFit="1"/>
    </xf>
    <xf numFmtId="0" fontId="7" fillId="0" borderId="4" xfId="0" applyFont="1" applyBorder="1" applyAlignment="1">
      <alignment horizontal="center" vertical="center" shrinkToFit="1"/>
    </xf>
    <xf numFmtId="0" fontId="7" fillId="0" borderId="5" xfId="0" applyFont="1" applyBorder="1" applyAlignment="1">
      <alignment horizontal="center" vertical="center" shrinkToFit="1"/>
    </xf>
    <xf numFmtId="0" fontId="7" fillId="0" borderId="34" xfId="0" applyFont="1" applyBorder="1" applyAlignment="1" applyProtection="1">
      <alignment horizontal="center" vertical="center"/>
      <protection locked="0" hidden="1"/>
    </xf>
    <xf numFmtId="0" fontId="4" fillId="0" borderId="34" xfId="0" applyFont="1" applyBorder="1" applyAlignment="1" applyProtection="1">
      <alignment horizontal="center" vertical="center"/>
      <protection locked="0" hidden="1"/>
    </xf>
    <xf numFmtId="0" fontId="4" fillId="0" borderId="34" xfId="0" applyFont="1" applyBorder="1" applyAlignment="1" applyProtection="1">
      <alignment horizontal="left" vertical="center"/>
      <protection locked="0" hidden="1"/>
    </xf>
    <xf numFmtId="0" fontId="7" fillId="0" borderId="4" xfId="0" applyFont="1" applyBorder="1" applyAlignment="1" applyProtection="1">
      <alignment horizontal="center" vertical="center"/>
      <protection locked="0" hidden="1"/>
    </xf>
    <xf numFmtId="0" fontId="4" fillId="0" borderId="4" xfId="0" applyFont="1" applyBorder="1" applyAlignment="1" applyProtection="1">
      <alignment horizontal="left" vertical="center"/>
      <protection locked="0" hidden="1"/>
    </xf>
    <xf numFmtId="0" fontId="4" fillId="0" borderId="4" xfId="0" applyFont="1" applyBorder="1" applyAlignment="1">
      <alignment horizontal="center" vertical="center"/>
    </xf>
    <xf numFmtId="0" fontId="4" fillId="2" borderId="5" xfId="0" applyFont="1" applyFill="1" applyBorder="1" applyAlignment="1">
      <alignment horizontal="center" vertical="center" wrapText="1"/>
    </xf>
    <xf numFmtId="0" fontId="4" fillId="0" borderId="1" xfId="0" applyFont="1" applyBorder="1" applyAlignment="1">
      <alignment horizontal="left" vertical="center" wrapText="1" shrinkToFit="1"/>
    </xf>
    <xf numFmtId="2" fontId="0" fillId="14" borderId="3" xfId="0" applyNumberFormat="1" applyFill="1" applyBorder="1" applyAlignment="1">
      <alignment horizontal="center"/>
    </xf>
    <xf numFmtId="1" fontId="7" fillId="5" borderId="42" xfId="0" applyNumberFormat="1" applyFont="1" applyFill="1" applyBorder="1" applyAlignment="1" applyProtection="1">
      <alignment horizontal="center" vertical="center"/>
      <protection hidden="1"/>
    </xf>
    <xf numFmtId="1" fontId="7" fillId="5" borderId="43" xfId="0" applyNumberFormat="1" applyFont="1" applyFill="1" applyBorder="1" applyAlignment="1" applyProtection="1">
      <alignment horizontal="center" vertical="center"/>
      <protection hidden="1"/>
    </xf>
    <xf numFmtId="1" fontId="7" fillId="5" borderId="33" xfId="0" applyNumberFormat="1" applyFont="1" applyFill="1" applyBorder="1" applyAlignment="1" applyProtection="1">
      <alignment horizontal="center" vertical="center"/>
      <protection hidden="1"/>
    </xf>
    <xf numFmtId="0" fontId="0" fillId="0" borderId="7" xfId="0" applyBorder="1" applyAlignment="1">
      <alignment horizontal="center"/>
    </xf>
    <xf numFmtId="1" fontId="7" fillId="5" borderId="70" xfId="0" applyNumberFormat="1" applyFont="1" applyFill="1" applyBorder="1" applyAlignment="1" applyProtection="1">
      <alignment horizontal="center" vertical="center"/>
      <protection hidden="1"/>
    </xf>
    <xf numFmtId="0" fontId="7" fillId="0" borderId="45" xfId="0" applyFont="1" applyBorder="1"/>
    <xf numFmtId="0" fontId="0" fillId="0" borderId="54"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36" xfId="0" applyBorder="1" applyAlignment="1">
      <alignment horizontal="center"/>
    </xf>
    <xf numFmtId="0" fontId="0" fillId="0" borderId="8" xfId="0" applyBorder="1" applyAlignment="1">
      <alignment horizontal="center"/>
    </xf>
    <xf numFmtId="1" fontId="0" fillId="14" borderId="36" xfId="0" applyNumberFormat="1" applyFill="1" applyBorder="1" applyAlignment="1">
      <alignment horizontal="center"/>
    </xf>
    <xf numFmtId="1" fontId="0" fillId="14" borderId="7" xfId="0" applyNumberFormat="1"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7" fillId="15" borderId="3" xfId="0" applyFont="1" applyFill="1" applyBorder="1" applyAlignment="1" applyProtection="1">
      <alignment horizontal="center" vertical="center"/>
      <protection locked="0"/>
    </xf>
    <xf numFmtId="0" fontId="7" fillId="15" borderId="5" xfId="0" applyFont="1" applyFill="1" applyBorder="1" applyAlignment="1" applyProtection="1">
      <alignment horizontal="center" vertical="center"/>
      <protection locked="0"/>
    </xf>
    <xf numFmtId="1" fontId="0" fillId="0" borderId="36" xfId="0" applyNumberFormat="1" applyBorder="1" applyAlignment="1">
      <alignment horizontal="center"/>
    </xf>
    <xf numFmtId="1" fontId="0" fillId="0" borderId="7" xfId="0" applyNumberFormat="1" applyBorder="1" applyAlignment="1">
      <alignment horizontal="center"/>
    </xf>
    <xf numFmtId="1" fontId="0" fillId="0" borderId="4" xfId="0" applyNumberFormat="1" applyBorder="1" applyAlignment="1">
      <alignment horizontal="center"/>
    </xf>
    <xf numFmtId="1" fontId="0" fillId="0" borderId="5" xfId="0" applyNumberFormat="1" applyBorder="1" applyAlignment="1">
      <alignment horizontal="center"/>
    </xf>
    <xf numFmtId="0" fontId="29" fillId="0" borderId="36" xfId="0" applyFont="1" applyBorder="1" applyAlignment="1">
      <alignment horizontal="center"/>
    </xf>
    <xf numFmtId="0" fontId="29" fillId="15" borderId="4" xfId="0" applyFont="1" applyFill="1" applyBorder="1" applyAlignment="1">
      <alignment horizontal="center"/>
    </xf>
    <xf numFmtId="0" fontId="29" fillId="0" borderId="4" xfId="0" applyFont="1" applyBorder="1" applyAlignment="1">
      <alignment horizontal="center"/>
    </xf>
    <xf numFmtId="0" fontId="29" fillId="0" borderId="54" xfId="0" applyFont="1" applyBorder="1" applyAlignment="1">
      <alignment horizontal="center"/>
    </xf>
    <xf numFmtId="1" fontId="25" fillId="5" borderId="4" xfId="0" applyNumberFormat="1" applyFont="1" applyFill="1" applyBorder="1" applyAlignment="1" applyProtection="1">
      <alignment horizontal="center" vertical="center"/>
      <protection hidden="1"/>
    </xf>
    <xf numFmtId="0" fontId="24" fillId="0" borderId="5" xfId="0" applyFont="1" applyBorder="1" applyAlignment="1" applyProtection="1">
      <alignment horizontal="left" vertical="center" wrapText="1"/>
      <protection locked="0" hidden="1"/>
    </xf>
    <xf numFmtId="0" fontId="18" fillId="0" borderId="0" xfId="0" applyFont="1" applyAlignment="1">
      <alignment horizontal="left" wrapText="1"/>
    </xf>
    <xf numFmtId="164" fontId="8" fillId="0" borderId="0" xfId="0" applyNumberFormat="1" applyFont="1" applyAlignment="1">
      <alignment horizontal="center"/>
    </xf>
    <xf numFmtId="0" fontId="20" fillId="0" borderId="0" xfId="0" applyFont="1" applyAlignment="1" applyProtection="1">
      <alignment horizontal="left"/>
      <protection hidden="1"/>
    </xf>
    <xf numFmtId="0" fontId="8" fillId="4" borderId="37" xfId="0" applyFont="1" applyFill="1" applyBorder="1" applyAlignment="1" applyProtection="1">
      <alignment horizontal="center" vertical="center"/>
      <protection locked="0" hidden="1"/>
    </xf>
    <xf numFmtId="0" fontId="8" fillId="4" borderId="39" xfId="0" applyFont="1" applyFill="1" applyBorder="1" applyAlignment="1" applyProtection="1">
      <alignment horizontal="center" vertical="center"/>
      <protection locked="0" hidden="1"/>
    </xf>
    <xf numFmtId="0" fontId="4" fillId="0" borderId="54" xfId="0" applyFont="1" applyBorder="1" applyAlignment="1" applyProtection="1">
      <alignment horizontal="left" vertical="center"/>
      <protection locked="0" hidden="1"/>
    </xf>
    <xf numFmtId="0" fontId="4" fillId="0" borderId="36" xfId="0" applyFont="1" applyBorder="1" applyAlignment="1" applyProtection="1">
      <alignment horizontal="left" vertical="center"/>
      <protection locked="0" hidden="1"/>
    </xf>
    <xf numFmtId="0" fontId="4" fillId="0" borderId="12" xfId="0" applyFont="1" applyBorder="1" applyAlignment="1" applyProtection="1">
      <alignment horizontal="left" vertical="center"/>
      <protection locked="0" hidden="1"/>
    </xf>
    <xf numFmtId="0" fontId="4" fillId="0" borderId="8" xfId="0" applyFont="1" applyBorder="1" applyAlignment="1" applyProtection="1">
      <alignment horizontal="left" vertical="center"/>
      <protection locked="0" hidden="1"/>
    </xf>
    <xf numFmtId="0" fontId="4" fillId="0" borderId="23" xfId="0" applyFont="1" applyBorder="1" applyAlignment="1" applyProtection="1">
      <alignment horizontal="left" vertical="center"/>
      <protection locked="0" hidden="1"/>
    </xf>
    <xf numFmtId="0" fontId="4" fillId="0" borderId="25" xfId="0" applyFont="1" applyBorder="1" applyAlignment="1" applyProtection="1">
      <alignment horizontal="left" vertical="center"/>
      <protection locked="0" hidden="1"/>
    </xf>
    <xf numFmtId="0" fontId="7" fillId="0" borderId="0" xfId="0" applyFont="1" applyAlignment="1" applyProtection="1">
      <alignment horizontal="center"/>
      <protection locked="0" hidden="1"/>
    </xf>
    <xf numFmtId="0" fontId="24" fillId="0" borderId="54" xfId="0" applyFont="1" applyBorder="1" applyAlignment="1" applyProtection="1">
      <alignment horizontal="left" vertical="center"/>
      <protection locked="0" hidden="1"/>
    </xf>
    <xf numFmtId="0" fontId="24" fillId="0" borderId="55" xfId="0" applyFont="1" applyBorder="1" applyAlignment="1" applyProtection="1">
      <alignment horizontal="left" vertical="center"/>
      <protection locked="0" hidden="1"/>
    </xf>
    <xf numFmtId="0" fontId="24" fillId="0" borderId="36" xfId="0" applyFont="1" applyBorder="1" applyAlignment="1" applyProtection="1">
      <alignment horizontal="left" vertical="center"/>
      <protection locked="0" hidden="1"/>
    </xf>
    <xf numFmtId="0" fontId="24" fillId="0" borderId="12" xfId="0" applyFont="1" applyBorder="1" applyAlignment="1" applyProtection="1">
      <alignment horizontal="left" vertical="center"/>
      <protection locked="0" hidden="1"/>
    </xf>
    <xf numFmtId="0" fontId="24" fillId="0" borderId="29" xfId="0" applyFont="1" applyBorder="1" applyAlignment="1" applyProtection="1">
      <alignment horizontal="left" vertical="center"/>
      <protection locked="0" hidden="1"/>
    </xf>
    <xf numFmtId="0" fontId="24" fillId="0" borderId="8" xfId="0" applyFont="1" applyBorder="1" applyAlignment="1" applyProtection="1">
      <alignment horizontal="left" vertical="center"/>
      <protection locked="0" hidden="1"/>
    </xf>
    <xf numFmtId="0" fontId="24" fillId="0" borderId="23" xfId="0" applyFont="1" applyBorder="1" applyAlignment="1" applyProtection="1">
      <alignment horizontal="left" vertical="center"/>
      <protection locked="0" hidden="1"/>
    </xf>
    <xf numFmtId="0" fontId="24" fillId="0" borderId="46" xfId="0" applyFont="1" applyBorder="1" applyAlignment="1" applyProtection="1">
      <alignment horizontal="left" vertical="center"/>
      <protection locked="0" hidden="1"/>
    </xf>
    <xf numFmtId="0" fontId="24" fillId="0" borderId="25" xfId="0" applyFont="1" applyBorder="1" applyAlignment="1" applyProtection="1">
      <alignment horizontal="left" vertical="center"/>
      <protection locked="0" hidden="1"/>
    </xf>
    <xf numFmtId="164" fontId="7" fillId="0" borderId="12" xfId="0" applyNumberFormat="1" applyFont="1" applyBorder="1" applyAlignment="1" applyProtection="1">
      <alignment horizontal="left" vertical="center" indent="1"/>
      <protection locked="0" hidden="1"/>
    </xf>
    <xf numFmtId="164" fontId="7" fillId="0" borderId="29" xfId="0" applyNumberFormat="1" applyFont="1" applyBorder="1" applyAlignment="1" applyProtection="1">
      <alignment horizontal="left" vertical="center" indent="1"/>
      <protection locked="0" hidden="1"/>
    </xf>
    <xf numFmtId="0" fontId="7" fillId="0" borderId="57" xfId="0" applyFont="1" applyBorder="1" applyAlignment="1">
      <alignment horizontal="right" vertical="center"/>
    </xf>
    <xf numFmtId="0" fontId="7" fillId="0" borderId="59" xfId="0" applyFont="1" applyBorder="1" applyAlignment="1">
      <alignment horizontal="right" vertical="center"/>
    </xf>
    <xf numFmtId="1" fontId="8" fillId="0" borderId="56" xfId="0" applyNumberFormat="1" applyFont="1" applyBorder="1" applyAlignment="1" applyProtection="1">
      <alignment horizontal="center" vertical="center"/>
      <protection locked="0" hidden="1"/>
    </xf>
    <xf numFmtId="1" fontId="8" fillId="0" borderId="61" xfId="0" applyNumberFormat="1" applyFont="1" applyBorder="1" applyAlignment="1" applyProtection="1">
      <alignment horizontal="center" vertical="center"/>
      <protection locked="0" hidden="1"/>
    </xf>
    <xf numFmtId="2" fontId="8" fillId="0" borderId="58" xfId="0" applyNumberFormat="1" applyFont="1" applyBorder="1" applyAlignment="1" applyProtection="1">
      <alignment horizontal="center" vertical="center"/>
      <protection locked="0" hidden="1"/>
    </xf>
    <xf numFmtId="2" fontId="8" fillId="0" borderId="62" xfId="0" applyNumberFormat="1" applyFont="1" applyBorder="1" applyAlignment="1" applyProtection="1">
      <alignment horizontal="center" vertical="center"/>
      <protection locked="0" hidden="1"/>
    </xf>
    <xf numFmtId="0" fontId="8" fillId="0" borderId="45" xfId="0" applyFont="1" applyBorder="1" applyAlignment="1" applyProtection="1">
      <alignment horizontal="left" vertical="center" indent="8"/>
      <protection hidden="1"/>
    </xf>
    <xf numFmtId="0" fontId="8" fillId="0" borderId="44" xfId="0" applyFont="1" applyBorder="1" applyAlignment="1" applyProtection="1">
      <alignment horizontal="left" vertical="center" indent="8"/>
      <protection hidden="1"/>
    </xf>
    <xf numFmtId="0" fontId="7" fillId="0" borderId="46" xfId="0" applyFont="1" applyBorder="1" applyAlignment="1" applyProtection="1">
      <alignment horizontal="left" vertical="center" indent="5"/>
      <protection locked="0" hidden="1"/>
    </xf>
    <xf numFmtId="0" fontId="7" fillId="0" borderId="25" xfId="0" applyFont="1" applyBorder="1" applyAlignment="1" applyProtection="1">
      <alignment horizontal="left" vertical="center" indent="5"/>
      <protection locked="0" hidden="1"/>
    </xf>
    <xf numFmtId="0" fontId="8" fillId="4" borderId="38" xfId="0" applyFont="1" applyFill="1" applyBorder="1" applyAlignment="1" applyProtection="1">
      <alignment horizontal="center" vertical="center"/>
      <protection locked="0" hidden="1"/>
    </xf>
    <xf numFmtId="0" fontId="7" fillId="0" borderId="0" xfId="0" applyFont="1" applyAlignment="1">
      <alignment horizontal="center"/>
    </xf>
    <xf numFmtId="164" fontId="7" fillId="0" borderId="54" xfId="0" applyNumberFormat="1" applyFont="1" applyBorder="1" applyAlignment="1" applyProtection="1">
      <alignment horizontal="left" vertical="center" indent="1"/>
      <protection locked="0" hidden="1"/>
    </xf>
    <xf numFmtId="164" fontId="7" fillId="0" borderId="55" xfId="0" applyNumberFormat="1" applyFont="1" applyBorder="1" applyAlignment="1" applyProtection="1">
      <alignment horizontal="left" vertical="center" indent="1"/>
      <protection locked="0" hidden="1"/>
    </xf>
    <xf numFmtId="164" fontId="7" fillId="0" borderId="11" xfId="0" applyNumberFormat="1" applyFont="1" applyBorder="1" applyAlignment="1" applyProtection="1">
      <alignment horizontal="left" vertical="center" indent="1"/>
      <protection locked="0" hidden="1"/>
    </xf>
    <xf numFmtId="164" fontId="7" fillId="0" borderId="28" xfId="0" applyNumberFormat="1" applyFont="1" applyBorder="1" applyAlignment="1" applyProtection="1">
      <alignment horizontal="left" vertical="center" indent="1"/>
      <protection locked="0" hidden="1"/>
    </xf>
    <xf numFmtId="0" fontId="24" fillId="0" borderId="6" xfId="0" applyFont="1" applyBorder="1" applyAlignment="1" applyProtection="1">
      <alignment horizontal="left" vertical="center" wrapText="1"/>
      <protection locked="0" hidden="1"/>
    </xf>
    <xf numFmtId="0" fontId="27" fillId="0" borderId="35" xfId="0" applyFont="1" applyBorder="1" applyAlignment="1">
      <alignment horizontal="left" vertical="center"/>
    </xf>
    <xf numFmtId="0" fontId="4" fillId="0" borderId="3" xfId="0" applyFont="1" applyBorder="1" applyAlignment="1" applyProtection="1">
      <alignment horizontal="left" vertical="center" wrapText="1"/>
      <protection locked="0" hidden="1"/>
    </xf>
    <xf numFmtId="0" fontId="4" fillId="0" borderId="33" xfId="0" applyFont="1" applyBorder="1" applyAlignment="1" applyProtection="1">
      <alignment horizontal="left" vertical="center" wrapText="1"/>
      <protection locked="0" hidden="1"/>
    </xf>
    <xf numFmtId="0" fontId="4" fillId="0" borderId="5" xfId="0" applyFont="1" applyBorder="1" applyAlignment="1" applyProtection="1">
      <alignment horizontal="left" vertical="center" wrapText="1"/>
      <protection locked="0" hidden="1"/>
    </xf>
    <xf numFmtId="0" fontId="8" fillId="0" borderId="37" xfId="0" applyFont="1" applyBorder="1" applyAlignment="1" applyProtection="1">
      <alignment horizontal="left" vertical="center"/>
      <protection locked="0" hidden="1"/>
    </xf>
    <xf numFmtId="0" fontId="8" fillId="0" borderId="38" xfId="0" applyFont="1" applyBorder="1" applyAlignment="1" applyProtection="1">
      <alignment horizontal="left" vertical="center"/>
      <protection locked="0" hidden="1"/>
    </xf>
    <xf numFmtId="0" fontId="8" fillId="0" borderId="39" xfId="0" applyFont="1" applyBorder="1" applyAlignment="1" applyProtection="1">
      <alignment horizontal="left" vertical="center"/>
      <protection locked="0" hidden="1"/>
    </xf>
    <xf numFmtId="0" fontId="4" fillId="0" borderId="6" xfId="0" applyFont="1" applyBorder="1" applyAlignment="1" applyProtection="1">
      <alignment horizontal="left" vertical="center" wrapText="1"/>
      <protection locked="0" hidden="1"/>
    </xf>
    <xf numFmtId="0" fontId="24" fillId="0" borderId="4" xfId="0" applyFont="1" applyBorder="1" applyAlignment="1" applyProtection="1">
      <alignment horizontal="left" vertical="center" wrapText="1"/>
      <protection locked="0" hidden="1"/>
    </xf>
    <xf numFmtId="0" fontId="7" fillId="0" borderId="35" xfId="0" applyFont="1" applyBorder="1" applyAlignment="1" applyProtection="1">
      <alignment horizontal="left" vertical="center" wrapText="1"/>
      <protection locked="0" hidden="1"/>
    </xf>
    <xf numFmtId="0" fontId="19" fillId="0" borderId="0" xfId="0" applyFont="1" applyAlignment="1">
      <alignment horizontal="center"/>
    </xf>
    <xf numFmtId="0" fontId="28" fillId="0" borderId="35" xfId="0" applyFont="1" applyBorder="1" applyAlignment="1" applyProtection="1">
      <alignment horizontal="left" vertical="center" wrapText="1"/>
      <protection locked="0" hidden="1"/>
    </xf>
    <xf numFmtId="0" fontId="24" fillId="0" borderId="33" xfId="0" applyFont="1" applyBorder="1" applyAlignment="1" applyProtection="1">
      <alignment horizontal="left" vertical="center" wrapText="1"/>
      <protection locked="0" hidden="1"/>
    </xf>
    <xf numFmtId="0" fontId="24" fillId="0" borderId="3" xfId="0" applyFont="1" applyBorder="1" applyAlignment="1" applyProtection="1">
      <alignment horizontal="left" vertical="center" wrapText="1"/>
      <protection locked="0" hidden="1"/>
    </xf>
    <xf numFmtId="0" fontId="4" fillId="0" borderId="4" xfId="0" applyFont="1" applyBorder="1" applyAlignment="1" applyProtection="1">
      <alignment horizontal="left" vertical="center" wrapText="1"/>
      <protection locked="0" hidden="1"/>
    </xf>
    <xf numFmtId="0" fontId="8" fillId="4" borderId="42" xfId="0" applyFont="1" applyFill="1" applyBorder="1" applyAlignment="1">
      <alignment horizontal="center" vertical="center"/>
    </xf>
    <xf numFmtId="0" fontId="8" fillId="0" borderId="40" xfId="0" applyFont="1" applyBorder="1" applyAlignment="1">
      <alignment horizontal="left" vertical="center"/>
    </xf>
    <xf numFmtId="0" fontId="8" fillId="0" borderId="0" xfId="0" applyFont="1" applyBorder="1" applyAlignment="1">
      <alignment horizontal="left" vertical="center"/>
    </xf>
    <xf numFmtId="0" fontId="8" fillId="0" borderId="41" xfId="0" applyFont="1" applyBorder="1" applyAlignment="1">
      <alignment horizontal="left" vertical="center"/>
    </xf>
    <xf numFmtId="0" fontId="7" fillId="0" borderId="55" xfId="0" applyFont="1" applyBorder="1" applyAlignment="1" applyProtection="1">
      <alignment horizontal="center" vertical="center"/>
      <protection locked="0" hidden="1"/>
    </xf>
    <xf numFmtId="0" fontId="7" fillId="0" borderId="36" xfId="0" applyFont="1" applyBorder="1" applyAlignment="1" applyProtection="1">
      <alignment horizontal="center" vertical="center"/>
      <protection locked="0" hidden="1"/>
    </xf>
    <xf numFmtId="0" fontId="7" fillId="0" borderId="28" xfId="0" applyFont="1" applyBorder="1" applyAlignment="1" applyProtection="1">
      <alignment horizontal="center" vertical="center"/>
      <protection locked="0" hidden="1"/>
    </xf>
    <xf numFmtId="0" fontId="7" fillId="0" borderId="7" xfId="0" applyFont="1" applyBorder="1" applyAlignment="1" applyProtection="1">
      <alignment horizontal="center" vertical="center"/>
      <protection locked="0" hidden="1"/>
    </xf>
    <xf numFmtId="0" fontId="7" fillId="0" borderId="29" xfId="0" applyFont="1" applyBorder="1" applyAlignment="1" applyProtection="1">
      <alignment horizontal="center" vertical="center"/>
      <protection locked="0" hidden="1"/>
    </xf>
    <xf numFmtId="0" fontId="7" fillId="0" borderId="8" xfId="0" applyFont="1" applyBorder="1" applyAlignment="1" applyProtection="1">
      <alignment horizontal="center" vertical="center"/>
      <protection locked="0" hidden="1"/>
    </xf>
    <xf numFmtId="0" fontId="8" fillId="4" borderId="63" xfId="0" applyFont="1" applyFill="1" applyBorder="1" applyAlignment="1" applyProtection="1">
      <alignment horizontal="center" vertical="center"/>
      <protection locked="0" hidden="1"/>
    </xf>
    <xf numFmtId="0" fontId="7" fillId="0" borderId="63" xfId="0" applyFont="1" applyBorder="1" applyAlignment="1" applyProtection="1">
      <alignment horizontal="center" vertical="center" wrapText="1"/>
      <protection locked="0" hidden="1"/>
    </xf>
    <xf numFmtId="0" fontId="7" fillId="0" borderId="38" xfId="0" applyFont="1" applyBorder="1" applyAlignment="1" applyProtection="1">
      <alignment horizontal="center" vertical="center" wrapText="1"/>
      <protection locked="0" hidden="1"/>
    </xf>
    <xf numFmtId="0" fontId="7" fillId="0" borderId="39" xfId="0" applyFont="1" applyBorder="1" applyAlignment="1" applyProtection="1">
      <alignment horizontal="center" vertical="center" wrapText="1"/>
      <protection locked="0" hidden="1"/>
    </xf>
    <xf numFmtId="0" fontId="21" fillId="8" borderId="35" xfId="0" applyFont="1" applyFill="1" applyBorder="1" applyAlignment="1">
      <alignment horizontal="center" vertical="center" wrapText="1" shrinkToFit="1"/>
    </xf>
    <xf numFmtId="0" fontId="21" fillId="10" borderId="45" xfId="0" applyFont="1" applyFill="1" applyBorder="1" applyAlignment="1">
      <alignment horizontal="center" vertical="center" wrapText="1" shrinkToFit="1"/>
    </xf>
    <xf numFmtId="0" fontId="21" fillId="10" borderId="46" xfId="0" applyFont="1" applyFill="1" applyBorder="1" applyAlignment="1">
      <alignment horizontal="center" vertical="center" wrapText="1" shrinkToFit="1"/>
    </xf>
    <xf numFmtId="0" fontId="18" fillId="0" borderId="2" xfId="0" applyFont="1" applyBorder="1" applyAlignment="1">
      <alignment horizontal="left"/>
    </xf>
    <xf numFmtId="0" fontId="18" fillId="0" borderId="28" xfId="0" applyFont="1" applyBorder="1" applyAlignment="1">
      <alignment horizontal="left"/>
    </xf>
    <xf numFmtId="0" fontId="21" fillId="9" borderId="42" xfId="0" applyFont="1" applyFill="1" applyBorder="1" applyAlignment="1">
      <alignment horizontal="center" vertical="center" wrapText="1"/>
    </xf>
    <xf numFmtId="0" fontId="21" fillId="9" borderId="34" xfId="0" applyFont="1" applyFill="1" applyBorder="1" applyAlignment="1">
      <alignment horizontal="center" vertical="center" wrapText="1"/>
    </xf>
    <xf numFmtId="0" fontId="21" fillId="0" borderId="35" xfId="0" applyFont="1" applyBorder="1" applyAlignment="1">
      <alignment horizontal="center" vertical="center" wrapText="1"/>
    </xf>
    <xf numFmtId="0" fontId="21" fillId="0" borderId="42" xfId="0" applyFont="1" applyBorder="1" applyAlignment="1">
      <alignment horizontal="center" vertical="center" wrapText="1"/>
    </xf>
    <xf numFmtId="0" fontId="8" fillId="13" borderId="10" xfId="0" applyFont="1" applyFill="1" applyBorder="1" applyAlignment="1">
      <alignment horizontal="center"/>
    </xf>
    <xf numFmtId="0" fontId="8" fillId="13" borderId="15" xfId="0" applyFont="1" applyFill="1" applyBorder="1" applyAlignment="1">
      <alignment horizontal="center"/>
    </xf>
    <xf numFmtId="0" fontId="8" fillId="13" borderId="13" xfId="0" applyFont="1" applyFill="1" applyBorder="1" applyAlignment="1">
      <alignment horizontal="center"/>
    </xf>
    <xf numFmtId="0" fontId="8" fillId="7" borderId="9" xfId="0" applyFont="1" applyFill="1" applyBorder="1" applyAlignment="1">
      <alignment horizontal="center"/>
    </xf>
    <xf numFmtId="0" fontId="8" fillId="7" borderId="14" xfId="0" applyFont="1" applyFill="1" applyBorder="1" applyAlignment="1">
      <alignment horizontal="center"/>
    </xf>
    <xf numFmtId="0" fontId="8" fillId="7" borderId="1" xfId="0" applyFont="1" applyFill="1" applyBorder="1" applyAlignment="1">
      <alignment horizontal="center"/>
    </xf>
    <xf numFmtId="0" fontId="8" fillId="3" borderId="42" xfId="0" applyFont="1" applyFill="1" applyBorder="1" applyAlignment="1">
      <alignment horizontal="center" vertical="center"/>
    </xf>
    <xf numFmtId="0" fontId="8" fillId="3" borderId="34" xfId="0" applyFont="1" applyFill="1" applyBorder="1" applyAlignment="1">
      <alignment horizontal="center" vertical="center"/>
    </xf>
    <xf numFmtId="0" fontId="8" fillId="6" borderId="9" xfId="0" applyFont="1" applyFill="1" applyBorder="1" applyAlignment="1">
      <alignment horizontal="center"/>
    </xf>
    <xf numFmtId="0" fontId="8" fillId="6" borderId="14" xfId="0" applyFont="1" applyFill="1" applyBorder="1" applyAlignment="1">
      <alignment horizontal="center"/>
    </xf>
    <xf numFmtId="0" fontId="8" fillId="6" borderId="1" xfId="0" applyFont="1" applyFill="1" applyBorder="1" applyAlignment="1">
      <alignment horizontal="center"/>
    </xf>
    <xf numFmtId="0" fontId="8" fillId="11" borderId="10" xfId="0" applyFont="1" applyFill="1" applyBorder="1" applyAlignment="1">
      <alignment horizontal="center"/>
    </xf>
    <xf numFmtId="0" fontId="8" fillId="11" borderId="15" xfId="0" applyFont="1" applyFill="1" applyBorder="1" applyAlignment="1">
      <alignment horizontal="center"/>
    </xf>
    <xf numFmtId="0" fontId="8" fillId="11" borderId="13" xfId="0" applyFont="1" applyFill="1" applyBorder="1" applyAlignment="1">
      <alignment horizontal="center"/>
    </xf>
    <xf numFmtId="0" fontId="22" fillId="3" borderId="47" xfId="0" applyFont="1" applyFill="1" applyBorder="1" applyAlignment="1">
      <alignment horizontal="center" vertical="center"/>
    </xf>
    <xf numFmtId="0" fontId="22" fillId="3" borderId="45" xfId="0" applyFont="1" applyFill="1" applyBorder="1" applyAlignment="1">
      <alignment horizontal="center" vertical="center"/>
    </xf>
    <xf numFmtId="0" fontId="22" fillId="3" borderId="44" xfId="0" applyFont="1" applyFill="1" applyBorder="1" applyAlignment="1">
      <alignment horizontal="center" vertical="center"/>
    </xf>
    <xf numFmtId="0" fontId="22" fillId="3" borderId="40" xfId="0" applyFont="1" applyFill="1" applyBorder="1" applyAlignment="1">
      <alignment horizontal="center" vertical="center"/>
    </xf>
    <xf numFmtId="0" fontId="22" fillId="3" borderId="0" xfId="0" applyFont="1" applyFill="1" applyBorder="1" applyAlignment="1">
      <alignment horizontal="center" vertical="center"/>
    </xf>
    <xf numFmtId="0" fontId="22" fillId="3" borderId="41" xfId="0" applyFont="1" applyFill="1" applyBorder="1" applyAlignment="1">
      <alignment horizontal="center" vertical="center"/>
    </xf>
    <xf numFmtId="0" fontId="8" fillId="4" borderId="11" xfId="0" applyFont="1" applyFill="1" applyBorder="1" applyAlignment="1">
      <alignment horizontal="center"/>
    </xf>
    <xf numFmtId="0" fontId="8" fillId="4" borderId="28" xfId="0" applyFont="1" applyFill="1" applyBorder="1" applyAlignment="1">
      <alignment horizontal="center"/>
    </xf>
    <xf numFmtId="0" fontId="8" fillId="12" borderId="10" xfId="0" applyFont="1" applyFill="1" applyBorder="1" applyAlignment="1">
      <alignment horizontal="center"/>
    </xf>
    <xf numFmtId="0" fontId="8" fillId="12" borderId="15" xfId="0" applyFont="1" applyFill="1" applyBorder="1" applyAlignment="1">
      <alignment horizontal="center"/>
    </xf>
    <xf numFmtId="0" fontId="8" fillId="12" borderId="13" xfId="0" applyFont="1" applyFill="1" applyBorder="1" applyAlignment="1">
      <alignment horizontal="center"/>
    </xf>
    <xf numFmtId="0" fontId="8" fillId="0" borderId="64" xfId="0" applyFont="1" applyBorder="1" applyAlignment="1">
      <alignment horizontal="center" vertical="center" textRotation="90"/>
    </xf>
    <xf numFmtId="0" fontId="8" fillId="0" borderId="40" xfId="0" applyFont="1" applyBorder="1" applyAlignment="1">
      <alignment horizontal="center" vertical="center" textRotation="90"/>
    </xf>
    <xf numFmtId="0" fontId="8" fillId="0" borderId="23" xfId="0" applyFont="1" applyBorder="1" applyAlignment="1">
      <alignment horizontal="center" vertical="center" textRotation="90"/>
    </xf>
    <xf numFmtId="0" fontId="8" fillId="0" borderId="1" xfId="0" applyFont="1" applyBorder="1" applyAlignment="1">
      <alignment horizontal="center" textRotation="90"/>
    </xf>
    <xf numFmtId="0" fontId="8" fillId="0" borderId="13" xfId="0" applyFont="1" applyBorder="1" applyAlignment="1">
      <alignment horizontal="center" textRotation="90"/>
    </xf>
    <xf numFmtId="0" fontId="8" fillId="0" borderId="42" xfId="0" applyFont="1" applyBorder="1" applyAlignment="1">
      <alignment horizontal="center" vertical="center"/>
    </xf>
    <xf numFmtId="0" fontId="8" fillId="0" borderId="43" xfId="0" applyFont="1" applyBorder="1" applyAlignment="1">
      <alignment horizontal="center" vertical="center"/>
    </xf>
    <xf numFmtId="0" fontId="8" fillId="0" borderId="34" xfId="0" applyFont="1" applyBorder="1" applyAlignment="1">
      <alignment horizontal="center" vertical="center"/>
    </xf>
    <xf numFmtId="0" fontId="8" fillId="0" borderId="44" xfId="0" applyFont="1" applyBorder="1" applyAlignment="1">
      <alignment horizontal="center" vertical="center"/>
    </xf>
    <xf numFmtId="0" fontId="8" fillId="0" borderId="41" xfId="0" applyFont="1" applyBorder="1" applyAlignment="1">
      <alignment horizontal="center" vertical="center"/>
    </xf>
    <xf numFmtId="0" fontId="8" fillId="0" borderId="25" xfId="0" applyFont="1" applyBorder="1" applyAlignment="1">
      <alignment horizontal="center" vertical="center"/>
    </xf>
    <xf numFmtId="0" fontId="8" fillId="0" borderId="49" xfId="0" applyFont="1" applyBorder="1" applyAlignment="1">
      <alignment horizontal="center" vertical="center" wrapText="1"/>
    </xf>
    <xf numFmtId="0" fontId="8" fillId="0" borderId="71"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54"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69" xfId="0" applyFont="1" applyBorder="1" applyAlignment="1">
      <alignment horizontal="center" vertical="center" wrapText="1"/>
    </xf>
    <xf numFmtId="0" fontId="8" fillId="0" borderId="70"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48" xfId="0" applyFont="1" applyBorder="1" applyAlignment="1">
      <alignment horizontal="center" vertical="center"/>
    </xf>
    <xf numFmtId="0" fontId="8" fillId="0" borderId="49" xfId="0" applyFont="1" applyBorder="1" applyAlignment="1">
      <alignment horizontal="center" vertical="center"/>
    </xf>
    <xf numFmtId="0" fontId="8" fillId="0" borderId="50" xfId="0" applyFont="1" applyBorder="1" applyAlignment="1">
      <alignment horizontal="center" vertical="center"/>
    </xf>
    <xf numFmtId="0" fontId="8" fillId="0" borderId="51" xfId="0" applyFont="1" applyBorder="1" applyAlignment="1">
      <alignment horizontal="center" vertical="center"/>
    </xf>
    <xf numFmtId="0" fontId="8" fillId="0" borderId="52" xfId="0" applyFont="1" applyBorder="1" applyAlignment="1">
      <alignment horizontal="center" vertical="center"/>
    </xf>
    <xf numFmtId="0" fontId="8" fillId="0" borderId="53" xfId="0" applyFont="1" applyBorder="1" applyAlignment="1">
      <alignment horizontal="center" vertical="center"/>
    </xf>
    <xf numFmtId="0" fontId="8" fillId="0" borderId="1" xfId="0" applyFont="1" applyBorder="1" applyAlignment="1">
      <alignment horizontal="center" vertical="center"/>
    </xf>
    <xf numFmtId="0" fontId="8" fillId="0" borderId="35" xfId="0" applyFont="1" applyBorder="1" applyAlignment="1">
      <alignment horizontal="center" vertical="center"/>
    </xf>
  </cellXfs>
  <cellStyles count="4">
    <cellStyle name="Normal" xfId="0" builtinId="0"/>
    <cellStyle name="Normal 2" xfId="1"/>
    <cellStyle name="Normal 4 2" xfId="2"/>
    <cellStyle name="Normal 4 3" xfId="3"/>
  </cellStyles>
  <dxfs count="1">
    <dxf>
      <font>
        <color rgb="FFFF0000"/>
      </font>
    </dxf>
  </dxfs>
  <tableStyles count="0" defaultTableStyle="TableStyleMedium2" defaultPivotStyle="PivotStyleLight16"/>
  <colors>
    <mruColors>
      <color rgb="FF68D8F2"/>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Spin" dx="22" fmlaLink="$C$1" max="40" min="1" page="1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714375</xdr:colOff>
          <xdr:row>0</xdr:row>
          <xdr:rowOff>104775</xdr:rowOff>
        </xdr:from>
        <xdr:to>
          <xdr:col>6</xdr:col>
          <xdr:colOff>1600200</xdr:colOff>
          <xdr:row>5</xdr:row>
          <xdr:rowOff>76200</xdr:rowOff>
        </xdr:to>
        <xdr:sp macro="" textlink="">
          <xdr:nvSpPr>
            <xdr:cNvPr id="1029" name="Spinner 5" hidden="1">
              <a:extLst>
                <a:ext uri="{63B3BB69-23CF-44E3-9099-C40C66FF867C}">
                  <a14:compatExt spid="_x0000_s1029"/>
                </a:ext>
              </a:extLst>
            </xdr:cNvPr>
            <xdr:cNvSpPr/>
          </xdr:nvSpPr>
          <xdr:spPr>
            <a:xfrm>
              <a:off x="0" y="0"/>
              <a:ext cx="0" cy="0"/>
            </a:xfrm>
            <a:prstGeom prst="rect">
              <a:avLst/>
            </a:prstGeom>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92D050"/>
  </sheetPr>
  <dimension ref="B1:N81"/>
  <sheetViews>
    <sheetView showGridLines="0" zoomScaleNormal="100" workbookViewId="0">
      <selection activeCell="B9" sqref="B9:I9"/>
    </sheetView>
  </sheetViews>
  <sheetFormatPr defaultColWidth="8.75" defaultRowHeight="15.75" x14ac:dyDescent="0.25"/>
  <cols>
    <col min="1" max="1" width="4.25" style="1" customWidth="1"/>
    <col min="2" max="2" width="5.125" style="1" customWidth="1"/>
    <col min="3" max="3" width="14" style="1" customWidth="1"/>
    <col min="4" max="4" width="11.875" style="1" customWidth="1"/>
    <col min="5" max="5" width="9.125" style="1" customWidth="1"/>
    <col min="6" max="6" width="10.375" style="1" hidden="1" customWidth="1"/>
    <col min="7" max="7" width="24.375" style="1" customWidth="1"/>
    <col min="8" max="8" width="16.875" style="1" customWidth="1"/>
    <col min="9" max="9" width="26.625" style="1" customWidth="1"/>
    <col min="10" max="10" width="0.625" style="1" customWidth="1"/>
    <col min="11" max="13" width="8.75" style="1"/>
    <col min="14" max="14" width="8.75" style="1" customWidth="1"/>
    <col min="15" max="16384" width="8.75" style="1"/>
  </cols>
  <sheetData>
    <row r="1" spans="2:14" s="65" customFormat="1" ht="25.5" x14ac:dyDescent="0.25">
      <c r="B1" s="110" t="s">
        <v>5</v>
      </c>
      <c r="C1" s="64">
        <v>1</v>
      </c>
      <c r="D1" s="81"/>
    </row>
    <row r="2" spans="2:14" x14ac:dyDescent="0.25">
      <c r="B2" s="235"/>
      <c r="C2" s="235"/>
      <c r="D2" s="75"/>
    </row>
    <row r="3" spans="2:14" x14ac:dyDescent="0.25">
      <c r="B3" s="202" t="s">
        <v>100</v>
      </c>
      <c r="C3" s="202"/>
      <c r="D3" s="77" t="str">
        <f>VLOOKUP($C$1,'LEGGER XII AKL'!$A$15:$BS$54,2,FALSE)</f>
        <v>Amelia</v>
      </c>
      <c r="H3" s="79" t="s">
        <v>2</v>
      </c>
      <c r="I3" s="82" t="str">
        <f>'LEGGER XII AKL'!C5</f>
        <v>XII AKL</v>
      </c>
      <c r="N3" s="11"/>
    </row>
    <row r="4" spans="2:14" x14ac:dyDescent="0.25">
      <c r="B4" s="202" t="s">
        <v>1</v>
      </c>
      <c r="C4" s="202"/>
      <c r="D4" s="77" t="str">
        <f>VLOOKUP($C$1,'LEGGER XII AKL'!$A$15:$BS$54,3,FALSE)</f>
        <v>0068552301</v>
      </c>
      <c r="H4" s="79" t="s">
        <v>94</v>
      </c>
      <c r="I4" s="2" t="s">
        <v>176</v>
      </c>
      <c r="N4" s="11"/>
    </row>
    <row r="5" spans="2:14" x14ac:dyDescent="0.25">
      <c r="B5" s="202" t="s">
        <v>93</v>
      </c>
      <c r="C5" s="202"/>
      <c r="D5" s="2" t="s">
        <v>154</v>
      </c>
      <c r="H5" s="79" t="s">
        <v>3</v>
      </c>
      <c r="I5" s="82" t="str">
        <f>'LEGGER XII AKL'!C6</f>
        <v>1 (SATU)</v>
      </c>
      <c r="N5" s="11"/>
    </row>
    <row r="6" spans="2:14" ht="15.6" customHeight="1" x14ac:dyDescent="0.3">
      <c r="B6" s="202" t="s">
        <v>0</v>
      </c>
      <c r="C6" s="202"/>
      <c r="D6" s="201" t="s">
        <v>158</v>
      </c>
      <c r="E6" s="201"/>
      <c r="F6" s="201"/>
      <c r="G6" s="201"/>
      <c r="H6" s="79" t="s">
        <v>4</v>
      </c>
      <c r="I6" s="82" t="str">
        <f>'LEGGER XII AKL'!C7</f>
        <v>2024 /2025</v>
      </c>
      <c r="N6" s="11"/>
    </row>
    <row r="7" spans="2:14" ht="18.95" customHeight="1" x14ac:dyDescent="0.3">
      <c r="B7" s="88"/>
      <c r="C7" s="88"/>
      <c r="D7" s="104"/>
      <c r="E7" s="104"/>
      <c r="F7" s="104"/>
      <c r="G7" s="104"/>
      <c r="H7" s="80"/>
      <c r="I7" s="72"/>
      <c r="N7" s="11"/>
    </row>
    <row r="8" spans="2:14" ht="12.6" customHeight="1" x14ac:dyDescent="0.3">
      <c r="B8" s="88"/>
      <c r="C8" s="88"/>
      <c r="D8" s="104"/>
      <c r="E8" s="104"/>
      <c r="F8" s="104"/>
      <c r="G8" s="104"/>
      <c r="H8" s="80"/>
      <c r="I8" s="72"/>
      <c r="N8" s="11"/>
    </row>
    <row r="9" spans="2:14" ht="20.100000000000001" customHeight="1" x14ac:dyDescent="0.35">
      <c r="B9" s="251" t="s">
        <v>102</v>
      </c>
      <c r="C9" s="251"/>
      <c r="D9" s="251"/>
      <c r="E9" s="251"/>
      <c r="F9" s="251"/>
      <c r="G9" s="251"/>
      <c r="H9" s="251"/>
      <c r="I9" s="251"/>
      <c r="N9" s="11"/>
    </row>
    <row r="10" spans="2:14" ht="8.4499999999999993" customHeight="1" thickBot="1" x14ac:dyDescent="0.3">
      <c r="N10" s="11"/>
    </row>
    <row r="11" spans="2:14" ht="34.5" customHeight="1" x14ac:dyDescent="0.25">
      <c r="B11" s="132" t="s">
        <v>105</v>
      </c>
      <c r="C11" s="256" t="s">
        <v>96</v>
      </c>
      <c r="D11" s="256"/>
      <c r="E11" s="133" t="s">
        <v>95</v>
      </c>
      <c r="F11" s="133"/>
      <c r="G11" s="256" t="s">
        <v>149</v>
      </c>
      <c r="H11" s="256"/>
      <c r="I11" s="256"/>
      <c r="N11" s="11"/>
    </row>
    <row r="12" spans="2:14" s="130" customFormat="1" ht="1.5" customHeight="1" x14ac:dyDescent="0.25">
      <c r="B12" s="134"/>
      <c r="C12" s="135"/>
      <c r="D12" s="135"/>
      <c r="E12" s="136"/>
      <c r="F12" s="136"/>
      <c r="G12" s="135"/>
      <c r="H12" s="135"/>
      <c r="I12" s="137"/>
      <c r="N12" s="131"/>
    </row>
    <row r="13" spans="2:14" ht="20.100000000000001" customHeight="1" thickBot="1" x14ac:dyDescent="0.3">
      <c r="B13" s="257" t="s">
        <v>97</v>
      </c>
      <c r="C13" s="258"/>
      <c r="D13" s="258"/>
      <c r="E13" s="258"/>
      <c r="F13" s="258"/>
      <c r="G13" s="258"/>
      <c r="H13" s="258"/>
      <c r="I13" s="259"/>
      <c r="N13" s="11"/>
    </row>
    <row r="14" spans="2:14" ht="76.5" customHeight="1" thickBot="1" x14ac:dyDescent="0.3">
      <c r="B14" s="113">
        <v>1</v>
      </c>
      <c r="C14" s="255" t="s">
        <v>8</v>
      </c>
      <c r="D14" s="255"/>
      <c r="E14" s="114">
        <f>VLOOKUP($C$1,'LEGGER XII AKL'!$A$15:$BS$54,8,FALSE)</f>
        <v>87.666666666666671</v>
      </c>
      <c r="F14" s="115" t="str">
        <f>IF(E14&gt;=90,"Sangat Baik",IF(E14&gt;=80,"Baik",IF(E14&gt;=70,"Cukup","Perlu Bimbingan")))</f>
        <v>Baik</v>
      </c>
      <c r="G14" s="249" t="str">
        <f>VLOOKUP(F14,DESKRIPSI!$C$10:$O$13,2,FALSE)</f>
        <v>Peserta didik Mampu membaca, menghafal Q.S. Al-Baqarah/2: 155-156 dan mampu mempraktekkan Da’wah (Ceramah, Pidato, Khutbah), dzikir dan do’a setelah shalat Fardhu, serta tahlil dengan Baik.</v>
      </c>
      <c r="H14" s="249"/>
      <c r="I14" s="249"/>
      <c r="N14" s="11"/>
    </row>
    <row r="15" spans="2:14" ht="76.5" customHeight="1" thickBot="1" x14ac:dyDescent="0.3">
      <c r="B15" s="116">
        <v>2</v>
      </c>
      <c r="C15" s="244" t="s">
        <v>155</v>
      </c>
      <c r="D15" s="244"/>
      <c r="E15" s="117">
        <f>VLOOKUP($C$1,'LEGGER XII AKL'!$A$15:$BS$54,13,FALSE)</f>
        <v>95</v>
      </c>
      <c r="F15" s="115" t="str">
        <f t="shared" ref="F15:F18" si="0">IF(E15&gt;=90,"Sangat Baik",IF(E15&gt;=80,"Baik",IF(E15&gt;=70,"Cukup","Perlu Bimbingan")))</f>
        <v>Sangat Baik</v>
      </c>
      <c r="G15" s="200" t="str">
        <f>VLOOKUP(F15,DESKRIPSI!$C$10:$O$13,3,FALSE)</f>
        <v>Peserta didik mampu menjelaskan peran dan kewajiban warga negara Indonesia dalam menjaga persatuan dan kesatuan bangsa dengan Sangat Baik.</v>
      </c>
      <c r="H15" s="200"/>
      <c r="I15" s="200"/>
      <c r="N15" s="11"/>
    </row>
    <row r="16" spans="2:14" ht="76.5" customHeight="1" thickBot="1" x14ac:dyDescent="0.3">
      <c r="B16" s="116">
        <v>3</v>
      </c>
      <c r="C16" s="244" t="s">
        <v>9</v>
      </c>
      <c r="D16" s="244"/>
      <c r="E16" s="117">
        <f>VLOOKUP($C$1,'LEGGER XII AKL'!$A$15:$BS$54,18,FALSE)</f>
        <v>92.333333333333329</v>
      </c>
      <c r="F16" s="115" t="str">
        <f t="shared" si="0"/>
        <v>Sangat Baik</v>
      </c>
      <c r="G16" s="200" t="str">
        <f>VLOOKUP(F16,DESKRIPSI!$C$10:$O$13,4,FALSE)</f>
        <v>Peserta didik mampu menerapkan etika berkomunikasi secara lisan dan tulisan, integritas antara lain; jujur, disiplin, kemandirian dan tanggung jawab, etos kerja secara mandiri dan secara tim. Kependudukan sosial dan lingkungan, serta ketaatan terhadap norma, K3LH dan POS juga berlaku di dunia kerja dengan Sangat Baik.</v>
      </c>
      <c r="H16" s="200"/>
      <c r="I16" s="200"/>
      <c r="N16" s="11"/>
    </row>
    <row r="17" spans="2:14" ht="75" hidden="1" customHeight="1" thickBot="1" x14ac:dyDescent="0.3">
      <c r="B17" s="116">
        <v>4</v>
      </c>
      <c r="C17" s="244" t="s">
        <v>12</v>
      </c>
      <c r="D17" s="244"/>
      <c r="E17" s="117">
        <f>VLOOKUP($C$1,'LEGGER XII AKL'!$A$15:$BS$54,23,FALSE)</f>
        <v>0</v>
      </c>
      <c r="F17" s="115" t="str">
        <f t="shared" si="0"/>
        <v>Perlu Bimbingan</v>
      </c>
      <c r="G17" s="200" t="str">
        <f>VLOOKUP(F17,DESKRIPSI!$C$10:$O$13,5,FALSE)</f>
        <v>Konsep _ PENJAS _ Belum Kompeten</v>
      </c>
      <c r="H17" s="200"/>
      <c r="I17" s="200"/>
      <c r="N17" s="11"/>
    </row>
    <row r="18" spans="2:14" ht="75" hidden="1" customHeight="1" thickBot="1" x14ac:dyDescent="0.3">
      <c r="B18" s="116">
        <v>5</v>
      </c>
      <c r="C18" s="244" t="s">
        <v>109</v>
      </c>
      <c r="D18" s="244"/>
      <c r="E18" s="117">
        <f>VLOOKUP($C$1,'LEGGER XII AKL'!$A$15:$BS$54,28,FALSE)</f>
        <v>0</v>
      </c>
      <c r="F18" s="115" t="str">
        <f t="shared" si="0"/>
        <v>Perlu Bimbingan</v>
      </c>
      <c r="G18" s="200" t="str">
        <f>VLOOKUP(F18,DESKRIPSI!$C$10:$O$13,6,FALSE)</f>
        <v>Konsep _ SEJARAH _ Belum Kompeten</v>
      </c>
      <c r="H18" s="200"/>
      <c r="I18" s="200"/>
      <c r="N18" s="11"/>
    </row>
    <row r="19" spans="2:14" ht="75" hidden="1" customHeight="1" thickBot="1" x14ac:dyDescent="0.3">
      <c r="B19" s="118">
        <v>6</v>
      </c>
      <c r="C19" s="243" t="s">
        <v>156</v>
      </c>
      <c r="D19" s="243"/>
      <c r="E19" s="119">
        <f>VLOOKUP($C$1,'LEGGER XII AKL'!$A$15:$BS$54,33,FALSE)</f>
        <v>0</v>
      </c>
      <c r="F19" s="115" t="str">
        <f>IF(E19&gt;=90,"Sangat Baik",IF(E19&gt;=80,"Baik",IF(E19&gt;=70,"Cukup","Perlu Bimbingan")))</f>
        <v>Perlu Bimbingan</v>
      </c>
      <c r="G19" s="253" t="str">
        <f>VLOOKUP(F19,DESKRIPSI!$C$10:$O$13,7,FALSE)</f>
        <v>Konsep _ SENI _ Belum Kompeten</v>
      </c>
      <c r="H19" s="253"/>
      <c r="I19" s="253"/>
      <c r="N19" s="11"/>
    </row>
    <row r="20" spans="2:14" ht="20.100000000000001" customHeight="1" thickBot="1" x14ac:dyDescent="0.3">
      <c r="B20" s="241" t="s">
        <v>98</v>
      </c>
      <c r="C20" s="241"/>
      <c r="D20" s="241"/>
      <c r="E20" s="241"/>
      <c r="F20" s="241"/>
      <c r="G20" s="241"/>
      <c r="H20" s="241"/>
      <c r="I20" s="241"/>
      <c r="N20" s="11"/>
    </row>
    <row r="21" spans="2:14" ht="76.5" customHeight="1" thickBot="1" x14ac:dyDescent="0.3">
      <c r="B21" s="120">
        <v>4</v>
      </c>
      <c r="C21" s="242" t="s">
        <v>10</v>
      </c>
      <c r="D21" s="242"/>
      <c r="E21" s="121">
        <f>VLOOKUP($C$1,'LEGGER XII AKL'!$A$15:$BS$54,38,FALSE)</f>
        <v>91.666666666666671</v>
      </c>
      <c r="F21" s="115" t="str">
        <f>IF(E21&gt;=90,"Sangat Baik",IF(E21&gt;=80,"Baik",IF(E21&gt;=70,"CUKUP","Perlu Bimbingan")))</f>
        <v>Sangat Baik</v>
      </c>
      <c r="G21" s="254" t="str">
        <f>VLOOKUP(F21,DESKRIPSI!$C$10:$O$13,8,FALSE)</f>
        <v>Peserta didik mampu memahami konsep peluang menggunakan Kaidah Pencacahan (Pengisian Tempat, Faktorial, Permutasi dan Kombinasi dengan Sangat Baik.</v>
      </c>
      <c r="H21" s="254"/>
      <c r="I21" s="254"/>
      <c r="N21" s="11"/>
    </row>
    <row r="22" spans="2:14" ht="76.5" customHeight="1" thickBot="1" x14ac:dyDescent="0.3">
      <c r="B22" s="116">
        <v>5</v>
      </c>
      <c r="C22" s="244" t="s">
        <v>11</v>
      </c>
      <c r="D22" s="244"/>
      <c r="E22" s="117">
        <f>VLOOKUP($C$1,'LEGGER XII AKL'!$A$15:$BS$54,43,FALSE)</f>
        <v>93.333333333333329</v>
      </c>
      <c r="F22" s="115" t="str">
        <f t="shared" ref="F22:F25" si="1">IF(E22&gt;=90,"Sangat Baik",IF(E22&gt;=80,"Baik",IF(E22&gt;=70,"CUKUP","Perlu Bimbingan")))</f>
        <v>Sangat Baik</v>
      </c>
      <c r="G22" s="200" t="str">
        <f>VLOOKUP(F22,DESKRIPSI!$C$10:$O$13,9,FALSE)</f>
        <v>Peserta didik mampu menulis Surat lamaran kerja dan daftar riwayat hidup dalam Bahasa inggris secara benar dengan Sangat Baik.</v>
      </c>
      <c r="H22" s="200"/>
      <c r="I22" s="200"/>
      <c r="N22" s="11"/>
    </row>
    <row r="23" spans="2:14" ht="76.5" customHeight="1" thickBot="1" x14ac:dyDescent="0.3">
      <c r="B23" s="116">
        <v>6</v>
      </c>
      <c r="C23" s="244" t="s">
        <v>177</v>
      </c>
      <c r="D23" s="244"/>
      <c r="E23" s="117">
        <f>VLOOKUP($C$1,'LEGGER XII AKL'!$A$15:$BS$54,48,FALSE)</f>
        <v>93</v>
      </c>
      <c r="F23" s="115" t="str">
        <f t="shared" si="1"/>
        <v>Sangat Baik</v>
      </c>
      <c r="G23" s="200" t="str">
        <f>VLOOKUP(F23,DESKRIPSI!$C$10:$O$13,10,FALSE)</f>
        <v>Peserta didik mampu menganalisis perhitungan persediaan dengan berbagai metode, menganalisis rekonsiliasi bank, mampu menghitung PPh Pasal 21 terutang dan mampu memahami siklus akuntansi lembaga pemerintahan. Peserta didik mampu mencatat transaksi serta memposting ke dalam Jurnal Umum, Buku Besar, dan Neraca Saldo pada Perusahaan Jasa dengan Sangat Baik.</v>
      </c>
      <c r="H23" s="200"/>
      <c r="I23" s="200"/>
      <c r="N23" s="11"/>
    </row>
    <row r="24" spans="2:14" ht="76.5" customHeight="1" thickBot="1" x14ac:dyDescent="0.3">
      <c r="B24" s="116">
        <v>7</v>
      </c>
      <c r="C24" s="244" t="s">
        <v>178</v>
      </c>
      <c r="D24" s="244"/>
      <c r="E24" s="117">
        <f>VLOOKUP($C$1,'LEGGER XII AKL'!$A$15:$BS$54,53,FALSE)</f>
        <v>30</v>
      </c>
      <c r="F24" s="115" t="str">
        <f t="shared" si="1"/>
        <v>Perlu Bimbingan</v>
      </c>
      <c r="G24" s="200" t="str">
        <f>VLOOKUP(F24,DESKRIPSI!$C$10:$O$13,11,FALSE)</f>
        <v>Peserta didik  belum mampu membaca peluang usaha dengan mengidentifikasi potensi yang ada di lingkungan internal dan eksternal SMK serta menetapkan jenis usaha, memasarkan produk dengan menentukan segmen pasar, menentukan harga produk, dan menentukan media yang digunakan untuk memasarkan produk dengan Perlu Bimbingan.</v>
      </c>
      <c r="H24" s="200"/>
      <c r="I24" s="200"/>
      <c r="N24" s="11"/>
    </row>
    <row r="25" spans="2:14" ht="76.5" customHeight="1" thickBot="1" x14ac:dyDescent="0.3">
      <c r="B25" s="122">
        <v>8</v>
      </c>
      <c r="C25" s="248" t="s">
        <v>249</v>
      </c>
      <c r="D25" s="248"/>
      <c r="E25" s="123">
        <f>VLOOKUP($C$1,'LEGGER XII AKL'!$A$15:$BS$54,58,FALSE)</f>
        <v>90.666666666666671</v>
      </c>
      <c r="F25" s="115" t="str">
        <f t="shared" si="1"/>
        <v>Sangat Baik</v>
      </c>
      <c r="G25" s="240" t="str">
        <f>VLOOKUP(F25,DESKRIPSI!$C$10:$O$13,12,FALSE)</f>
        <v>Peserta didik mampu membuat bukti transaksi pada Perusahaan Jasa dengan Sangat Baik.</v>
      </c>
      <c r="H25" s="240"/>
      <c r="I25" s="240"/>
      <c r="N25" s="11"/>
    </row>
    <row r="26" spans="2:14" ht="20.100000000000001" customHeight="1" thickBot="1" x14ac:dyDescent="0.3">
      <c r="B26" s="245" t="s">
        <v>99</v>
      </c>
      <c r="C26" s="246"/>
      <c r="D26" s="246"/>
      <c r="E26" s="246"/>
      <c r="F26" s="246"/>
      <c r="G26" s="246"/>
      <c r="H26" s="246"/>
      <c r="I26" s="247"/>
      <c r="N26" s="11"/>
    </row>
    <row r="27" spans="2:14" ht="76.5" customHeight="1" thickBot="1" x14ac:dyDescent="0.3">
      <c r="B27" s="127">
        <v>9</v>
      </c>
      <c r="C27" s="250" t="s">
        <v>157</v>
      </c>
      <c r="D27" s="250"/>
      <c r="E27" s="128">
        <f>VLOOKUP($C$1,'LEGGER XII AKL'!$A$15:$BS$54,63,FALSE)</f>
        <v>92.666666666666671</v>
      </c>
      <c r="F27" s="129" t="str">
        <f>IF(E27&gt;=90,"Sangat Baik",IF(E27&gt;=80,"Baik",IF(E27&gt;=70,"CUKUP","Perlu Bimbingan")))</f>
        <v>Sangat Baik</v>
      </c>
      <c r="G27" s="252" t="str">
        <f>VLOOKUP(F27,DESKRIPSI!$C$10:$O$13,13,FALSE)</f>
        <v>Peserta didik mampu menerapkan penggunaan layer untuk pengelolaan objek dalam desain dengan Sangat Baik.</v>
      </c>
      <c r="H27" s="252"/>
      <c r="I27" s="252"/>
      <c r="N27" s="11"/>
    </row>
    <row r="28" spans="2:14" ht="24.75" customHeight="1" thickBot="1" x14ac:dyDescent="0.3">
      <c r="B28" s="66"/>
      <c r="C28" s="67"/>
      <c r="D28" s="67"/>
      <c r="E28" s="83"/>
      <c r="F28" s="83"/>
      <c r="G28" s="89"/>
      <c r="H28" s="89"/>
      <c r="I28" s="89"/>
      <c r="N28" s="11"/>
    </row>
    <row r="29" spans="2:14" ht="24.75" customHeight="1" thickBot="1" x14ac:dyDescent="0.3">
      <c r="B29" s="66"/>
      <c r="C29" s="67"/>
      <c r="D29" s="67"/>
      <c r="E29" s="83"/>
      <c r="F29" s="83"/>
      <c r="G29" s="89"/>
      <c r="H29" s="89"/>
      <c r="I29" s="89"/>
      <c r="N29" s="11"/>
    </row>
    <row r="30" spans="2:14" ht="20.100000000000001" customHeight="1" thickBot="1" x14ac:dyDescent="0.3">
      <c r="B30" s="106" t="s">
        <v>105</v>
      </c>
      <c r="C30" s="204" t="s">
        <v>106</v>
      </c>
      <c r="D30" s="205"/>
      <c r="E30" s="107" t="s">
        <v>6</v>
      </c>
      <c r="F30" s="106"/>
      <c r="G30" s="204" t="s">
        <v>13</v>
      </c>
      <c r="H30" s="234"/>
      <c r="I30" s="205"/>
    </row>
    <row r="31" spans="2:14" ht="30" customHeight="1" x14ac:dyDescent="0.25">
      <c r="B31" s="168" t="s">
        <v>17</v>
      </c>
      <c r="C31" s="206" t="str">
        <f>VLOOKUP($C$1,EKSKUL!$A$16:$O$60,4,FALSE)</f>
        <v>-</v>
      </c>
      <c r="D31" s="207"/>
      <c r="E31" s="113" t="str">
        <f>VLOOKUP($C$1,EKSKUL!$A$16:$O$60,6,FALSE)</f>
        <v>-</v>
      </c>
      <c r="F31" s="169"/>
      <c r="G31" s="213" t="str">
        <f>VLOOKUP($C$1,EKSKUL!$A$16:$O$60,7,FALSE)</f>
        <v>-</v>
      </c>
      <c r="H31" s="214"/>
      <c r="I31" s="215"/>
    </row>
    <row r="32" spans="2:14" ht="30" customHeight="1" thickBot="1" x14ac:dyDescent="0.3">
      <c r="B32" s="91" t="s">
        <v>18</v>
      </c>
      <c r="C32" s="208" t="str">
        <f>VLOOKUP($C$1,EKSKUL!$A$16:$O$60,8,FALSE)</f>
        <v>-</v>
      </c>
      <c r="D32" s="209"/>
      <c r="E32" s="122" t="str">
        <f>VLOOKUP($C$1,EKSKUL!$A$16:$O$60,10,FALSE)</f>
        <v>-</v>
      </c>
      <c r="F32" s="124"/>
      <c r="G32" s="216" t="str">
        <f>VLOOKUP($C$1,EKSKUL!$A$16:$O$60,11,FALSE)</f>
        <v>-</v>
      </c>
      <c r="H32" s="217"/>
      <c r="I32" s="218"/>
    </row>
    <row r="33" spans="2:9" ht="30" hidden="1" customHeight="1" thickBot="1" x14ac:dyDescent="0.3">
      <c r="B33" s="165" t="s">
        <v>19</v>
      </c>
      <c r="C33" s="210" t="str">
        <f>VLOOKUP($C$1,EKSKUL!$A$16:$O$60,12,FALSE)</f>
        <v>-</v>
      </c>
      <c r="D33" s="211"/>
      <c r="E33" s="166" t="str">
        <f>VLOOKUP($C$1,EKSKUL!$A$16:$O$60,14,FALSE)</f>
        <v>-</v>
      </c>
      <c r="F33" s="167"/>
      <c r="G33" s="219" t="str">
        <f>VLOOKUP($C$1,EKSKUL!$A$16:$O$60,15,FALSE)</f>
        <v>-</v>
      </c>
      <c r="H33" s="220"/>
      <c r="I33" s="221"/>
    </row>
    <row r="34" spans="2:9" ht="24.75" customHeight="1" thickBot="1" x14ac:dyDescent="0.3">
      <c r="B34" s="66"/>
      <c r="C34" s="68"/>
      <c r="D34" s="68"/>
      <c r="E34" s="68"/>
      <c r="F34" s="68"/>
      <c r="G34" s="70"/>
      <c r="H34" s="66"/>
      <c r="I34" s="66"/>
    </row>
    <row r="35" spans="2:9" ht="24" customHeight="1" x14ac:dyDescent="0.25">
      <c r="B35" s="138" t="s">
        <v>164</v>
      </c>
      <c r="C35" s="139"/>
      <c r="D35" s="226">
        <f>VLOOKUP($C$1,'LEGGER XII AKL'!$A$15:$BS$54,64,FALSE)</f>
        <v>766.33333333333326</v>
      </c>
      <c r="E35" s="227"/>
      <c r="F35" s="140"/>
      <c r="G35" s="224" t="s">
        <v>165</v>
      </c>
      <c r="H35" s="230">
        <f>VLOOKUP($C$1,'CATATAN WALAS'!$A$15:$O$59,5,FALSE)</f>
        <v>32</v>
      </c>
      <c r="I35" s="231"/>
    </row>
    <row r="36" spans="2:9" ht="24" customHeight="1" thickBot="1" x14ac:dyDescent="0.3">
      <c r="B36" s="141" t="s">
        <v>166</v>
      </c>
      <c r="C36" s="142"/>
      <c r="D36" s="228">
        <f>VLOOKUP($C$1,'LEGGER XII AKL'!$A$15:$BS$54,65,FALSE)</f>
        <v>85.148148148148138</v>
      </c>
      <c r="E36" s="229"/>
      <c r="F36" s="143"/>
      <c r="G36" s="225"/>
      <c r="H36" s="232" t="str">
        <f>"Dari "&amp;'LEGGER XII AKL'!I5&amp;" Siswa"</f>
        <v>Dari 32 Siswa</v>
      </c>
      <c r="I36" s="233"/>
    </row>
    <row r="37" spans="2:9" ht="24.75" customHeight="1" thickBot="1" x14ac:dyDescent="0.3">
      <c r="B37" s="69"/>
      <c r="C37" s="69"/>
      <c r="D37" s="69"/>
      <c r="E37" s="69"/>
      <c r="F37" s="69"/>
      <c r="G37" s="69"/>
      <c r="H37" s="69"/>
      <c r="I37" s="69"/>
    </row>
    <row r="38" spans="2:9" ht="20.100000000000001" customHeight="1" thickBot="1" x14ac:dyDescent="0.3">
      <c r="B38" s="204" t="s">
        <v>107</v>
      </c>
      <c r="C38" s="234"/>
      <c r="D38" s="234"/>
      <c r="E38" s="205"/>
      <c r="F38" s="69"/>
      <c r="G38" s="266" t="s">
        <v>167</v>
      </c>
      <c r="H38" s="234"/>
      <c r="I38" s="205"/>
    </row>
    <row r="39" spans="2:9" ht="24.75" customHeight="1" thickBot="1" x14ac:dyDescent="0.3">
      <c r="B39" s="236" t="s">
        <v>14</v>
      </c>
      <c r="C39" s="237"/>
      <c r="D39" s="260" t="str">
        <f>VLOOKUP($C$1,'LEGGER XII AKL'!$A$15:$BS$54,69,FALSE)&amp;"  hari"</f>
        <v>2  hari</v>
      </c>
      <c r="E39" s="261"/>
      <c r="G39" s="267" t="str">
        <f>VLOOKUP($C$1,'CATATAN WALAS'!$A$15:$O$59,6,FALSE)</f>
        <v>Jangan menyerah, tingkatkan kembali belajarmu</v>
      </c>
      <c r="H39" s="268"/>
      <c r="I39" s="269"/>
    </row>
    <row r="40" spans="2:9" ht="24.75" customHeight="1" thickBot="1" x14ac:dyDescent="0.3">
      <c r="B40" s="238" t="s">
        <v>15</v>
      </c>
      <c r="C40" s="239"/>
      <c r="D40" s="262" t="str">
        <f>VLOOKUP($C$1,'LEGGER XII AKL'!$A$15:$BS$54,70,FALSE)&amp;"  hari"</f>
        <v>1  hari</v>
      </c>
      <c r="E40" s="263"/>
      <c r="G40" s="267"/>
      <c r="H40" s="268"/>
      <c r="I40" s="269"/>
    </row>
    <row r="41" spans="2:9" ht="24.75" customHeight="1" thickBot="1" x14ac:dyDescent="0.3">
      <c r="B41" s="222" t="s">
        <v>16</v>
      </c>
      <c r="C41" s="223"/>
      <c r="D41" s="264" t="str">
        <f>VLOOKUP($C$1,'LEGGER XII AKL'!$A$15:$BS$54,71,FALSE)&amp;"  hari"</f>
        <v>0  hari</v>
      </c>
      <c r="E41" s="265"/>
      <c r="G41" s="267"/>
      <c r="H41" s="268"/>
      <c r="I41" s="269"/>
    </row>
    <row r="42" spans="2:9" ht="20.100000000000001" customHeight="1" x14ac:dyDescent="0.25">
      <c r="B42" s="90"/>
      <c r="C42" s="90"/>
      <c r="D42" s="66"/>
      <c r="G42" s="69"/>
      <c r="H42" s="69"/>
      <c r="I42" s="71"/>
    </row>
    <row r="43" spans="2:9" ht="20.100000000000001" customHeight="1" x14ac:dyDescent="0.25">
      <c r="B43" s="90"/>
      <c r="C43" s="90"/>
      <c r="D43" s="66"/>
      <c r="G43" s="69"/>
      <c r="H43" s="69"/>
      <c r="I43" s="71"/>
    </row>
    <row r="44" spans="2:9" ht="20.100000000000001" customHeight="1" x14ac:dyDescent="0.25">
      <c r="B44" s="90"/>
      <c r="C44" s="90"/>
      <c r="D44" s="66"/>
      <c r="G44" s="69"/>
      <c r="H44" s="69"/>
      <c r="I44" s="71"/>
    </row>
    <row r="45" spans="2:9" ht="15.75" customHeight="1" x14ac:dyDescent="0.25">
      <c r="B45" s="69"/>
      <c r="C45" s="68"/>
      <c r="D45" s="68"/>
      <c r="E45" s="66"/>
      <c r="F45" s="66"/>
      <c r="G45" s="69"/>
      <c r="H45" s="69"/>
      <c r="I45" s="65" t="s">
        <v>181</v>
      </c>
    </row>
    <row r="46" spans="2:9" ht="15.75" customHeight="1" x14ac:dyDescent="0.25">
      <c r="B46" s="69"/>
      <c r="C46" s="212" t="s">
        <v>21</v>
      </c>
      <c r="D46" s="212"/>
      <c r="E46" s="69"/>
      <c r="F46" s="69"/>
      <c r="G46" s="69"/>
      <c r="H46" s="69"/>
      <c r="I46" s="68" t="s">
        <v>103</v>
      </c>
    </row>
    <row r="47" spans="2:9" ht="15.75" customHeight="1" x14ac:dyDescent="0.25">
      <c r="B47" s="69"/>
      <c r="C47" s="69"/>
      <c r="D47" s="69"/>
      <c r="E47" s="69"/>
      <c r="F47" s="69"/>
      <c r="G47" s="69"/>
      <c r="H47" s="69"/>
    </row>
    <row r="48" spans="2:9" ht="15.75" customHeight="1" x14ac:dyDescent="0.25">
      <c r="B48" s="69"/>
      <c r="C48" s="69"/>
      <c r="D48" s="69"/>
      <c r="E48" s="69"/>
      <c r="F48" s="69"/>
      <c r="G48" s="69"/>
      <c r="H48" s="69"/>
    </row>
    <row r="49" spans="2:9" ht="15.75" customHeight="1" x14ac:dyDescent="0.25">
      <c r="B49" s="69"/>
      <c r="C49" s="69"/>
      <c r="D49" s="69"/>
      <c r="E49" s="69"/>
      <c r="F49" s="69"/>
      <c r="G49" s="69"/>
      <c r="H49" s="69"/>
      <c r="I49" s="69"/>
    </row>
    <row r="50" spans="2:9" ht="15.75" customHeight="1" x14ac:dyDescent="0.25">
      <c r="B50" s="69"/>
      <c r="C50" s="87"/>
      <c r="D50" s="87"/>
      <c r="E50" s="69"/>
      <c r="F50" s="69"/>
      <c r="G50" s="69"/>
      <c r="H50" s="69"/>
      <c r="I50" s="85" t="str">
        <f>'LEGGER XII AKL'!I6</f>
        <v>Elsa Wahyuningrum, A.Md. KA.</v>
      </c>
    </row>
    <row r="51" spans="2:9" ht="15.75" customHeight="1" x14ac:dyDescent="0.25">
      <c r="B51" s="69"/>
      <c r="C51" s="69"/>
      <c r="D51" s="69"/>
      <c r="E51" s="69"/>
      <c r="F51" s="69"/>
      <c r="G51" s="69"/>
      <c r="H51" s="69"/>
      <c r="I51" s="112" t="s">
        <v>182</v>
      </c>
    </row>
    <row r="52" spans="2:9" ht="15.75" customHeight="1" x14ac:dyDescent="0.25">
      <c r="B52" s="69"/>
      <c r="C52" s="69"/>
      <c r="D52" s="69"/>
      <c r="E52" s="69"/>
      <c r="F52" s="69"/>
      <c r="G52" s="84" t="s">
        <v>20</v>
      </c>
      <c r="H52" s="69"/>
      <c r="I52" s="69"/>
    </row>
    <row r="53" spans="2:9" ht="15.75" customHeight="1" x14ac:dyDescent="0.25">
      <c r="B53" s="69"/>
      <c r="D53" s="69"/>
      <c r="E53" s="69"/>
      <c r="F53" s="69"/>
      <c r="G53" s="84" t="s">
        <v>104</v>
      </c>
      <c r="H53" s="69"/>
      <c r="I53" s="69"/>
    </row>
    <row r="54" spans="2:9" ht="15.75" customHeight="1" x14ac:dyDescent="0.25">
      <c r="B54" s="69"/>
      <c r="C54" s="69"/>
      <c r="D54" s="69"/>
      <c r="E54" s="69"/>
      <c r="F54" s="69"/>
      <c r="G54" s="69"/>
      <c r="H54" s="69"/>
      <c r="I54" s="69"/>
    </row>
    <row r="55" spans="2:9" ht="15.75" customHeight="1" x14ac:dyDescent="0.25">
      <c r="B55" s="69"/>
      <c r="C55" s="69"/>
      <c r="D55" s="69"/>
      <c r="E55" s="69"/>
      <c r="F55" s="69"/>
      <c r="G55" s="69"/>
      <c r="H55" s="69"/>
      <c r="I55" s="69"/>
    </row>
    <row r="56" spans="2:9" ht="15.75" customHeight="1" x14ac:dyDescent="0.25">
      <c r="B56" s="69"/>
      <c r="C56" s="69"/>
      <c r="D56" s="69"/>
      <c r="E56" s="69"/>
      <c r="F56" s="69"/>
      <c r="G56" s="69"/>
      <c r="H56" s="69"/>
      <c r="I56" s="69"/>
    </row>
    <row r="57" spans="2:9" ht="15.75" customHeight="1" x14ac:dyDescent="0.25">
      <c r="B57" s="69"/>
      <c r="C57" s="69"/>
      <c r="D57" s="69"/>
      <c r="E57" s="69"/>
      <c r="F57" s="69"/>
      <c r="G57" s="69"/>
      <c r="H57" s="69"/>
      <c r="I57" s="69"/>
    </row>
    <row r="58" spans="2:9" ht="15.75" customHeight="1" x14ac:dyDescent="0.25">
      <c r="B58" s="69"/>
      <c r="C58" s="69"/>
      <c r="D58" s="69"/>
      <c r="E58" s="69"/>
      <c r="F58" s="69"/>
      <c r="G58" s="86" t="s">
        <v>159</v>
      </c>
      <c r="H58" s="69"/>
      <c r="I58" s="69"/>
    </row>
    <row r="59" spans="2:9" ht="15.75" customHeight="1" x14ac:dyDescent="0.25">
      <c r="B59" s="69"/>
      <c r="C59" s="69"/>
      <c r="D59" s="69"/>
      <c r="E59" s="84"/>
      <c r="F59" s="84"/>
      <c r="G59" s="112" t="s">
        <v>163</v>
      </c>
      <c r="H59" s="69"/>
      <c r="I59" s="69"/>
    </row>
    <row r="60" spans="2:9" x14ac:dyDescent="0.25">
      <c r="B60" s="69"/>
      <c r="C60" s="69"/>
      <c r="D60" s="69"/>
      <c r="E60" s="69"/>
      <c r="F60" s="69"/>
      <c r="G60" s="69"/>
      <c r="H60" s="69"/>
      <c r="I60" s="69"/>
    </row>
    <row r="61" spans="2:9" x14ac:dyDescent="0.25">
      <c r="B61" s="69"/>
      <c r="C61" s="69"/>
      <c r="D61" s="69"/>
      <c r="E61" s="69"/>
      <c r="F61" s="69"/>
      <c r="G61" s="69"/>
      <c r="H61" s="69"/>
      <c r="I61" s="69"/>
    </row>
    <row r="62" spans="2:9" x14ac:dyDescent="0.25">
      <c r="B62" s="69"/>
      <c r="C62" s="69"/>
      <c r="D62" s="69"/>
      <c r="E62" s="69"/>
      <c r="F62" s="69"/>
      <c r="G62" s="69"/>
      <c r="H62" s="69"/>
      <c r="I62" s="69"/>
    </row>
    <row r="63" spans="2:9" x14ac:dyDescent="0.25">
      <c r="B63" s="69"/>
      <c r="C63" s="69"/>
      <c r="D63" s="69"/>
      <c r="E63" s="69"/>
      <c r="F63" s="69"/>
      <c r="G63" s="69"/>
      <c r="H63" s="69"/>
      <c r="I63" s="69"/>
    </row>
    <row r="64" spans="2:9" x14ac:dyDescent="0.25">
      <c r="B64" s="69"/>
      <c r="C64" s="69"/>
      <c r="D64" s="69"/>
      <c r="E64" s="69"/>
      <c r="F64" s="69"/>
      <c r="G64" s="69"/>
      <c r="H64" s="69"/>
      <c r="I64" s="69"/>
    </row>
    <row r="65" spans="2:9" x14ac:dyDescent="0.25">
      <c r="B65" s="69"/>
      <c r="C65" s="69"/>
      <c r="D65" s="69"/>
      <c r="E65" s="69"/>
      <c r="F65" s="69"/>
      <c r="G65" s="69"/>
      <c r="H65" s="69"/>
      <c r="I65" s="69"/>
    </row>
    <row r="66" spans="2:9" x14ac:dyDescent="0.25">
      <c r="B66" s="69"/>
      <c r="C66" s="69"/>
      <c r="D66" s="69"/>
      <c r="E66" s="69"/>
      <c r="F66" s="69"/>
      <c r="G66" s="69"/>
      <c r="H66" s="69"/>
      <c r="I66" s="69"/>
    </row>
    <row r="67" spans="2:9" x14ac:dyDescent="0.25">
      <c r="B67" s="69"/>
      <c r="C67" s="69"/>
      <c r="D67" s="69"/>
      <c r="E67" s="69"/>
      <c r="F67" s="69"/>
      <c r="G67" s="69"/>
      <c r="H67" s="69"/>
      <c r="I67" s="69"/>
    </row>
    <row r="68" spans="2:9" x14ac:dyDescent="0.25">
      <c r="B68" s="69"/>
      <c r="C68" s="69"/>
      <c r="D68" s="69"/>
      <c r="E68" s="69"/>
      <c r="F68" s="69"/>
      <c r="G68" s="69"/>
      <c r="H68" s="69"/>
      <c r="I68" s="69"/>
    </row>
    <row r="69" spans="2:9" x14ac:dyDescent="0.25">
      <c r="B69" s="69"/>
      <c r="C69" s="69"/>
      <c r="D69" s="69"/>
      <c r="E69" s="69"/>
      <c r="F69" s="69"/>
      <c r="G69" s="69"/>
      <c r="H69" s="69"/>
      <c r="I69" s="69"/>
    </row>
    <row r="70" spans="2:9" x14ac:dyDescent="0.25">
      <c r="B70" s="69"/>
      <c r="C70" s="69"/>
      <c r="D70" s="69"/>
      <c r="E70" s="69"/>
      <c r="F70" s="69"/>
      <c r="G70" s="69"/>
      <c r="H70" s="69"/>
      <c r="I70" s="69"/>
    </row>
    <row r="71" spans="2:9" x14ac:dyDescent="0.25">
      <c r="B71" s="69"/>
      <c r="C71" s="69"/>
      <c r="D71" s="69"/>
      <c r="E71" s="69"/>
      <c r="F71" s="69"/>
      <c r="G71" s="69"/>
      <c r="H71" s="69"/>
      <c r="I71" s="69"/>
    </row>
    <row r="72" spans="2:9" x14ac:dyDescent="0.25">
      <c r="B72" s="69"/>
      <c r="C72" s="69"/>
      <c r="D72" s="69"/>
      <c r="E72" s="69"/>
      <c r="F72" s="69"/>
      <c r="G72" s="69"/>
      <c r="H72" s="69"/>
      <c r="I72" s="69"/>
    </row>
    <row r="73" spans="2:9" x14ac:dyDescent="0.25">
      <c r="B73" s="69"/>
      <c r="C73" s="69"/>
      <c r="D73" s="69"/>
      <c r="E73" s="69"/>
      <c r="F73" s="69"/>
      <c r="G73" s="69"/>
      <c r="H73" s="69"/>
      <c r="I73" s="69"/>
    </row>
    <row r="74" spans="2:9" x14ac:dyDescent="0.25">
      <c r="B74" s="69"/>
      <c r="C74" s="69"/>
      <c r="D74" s="69"/>
      <c r="E74" s="69"/>
      <c r="F74" s="69"/>
      <c r="G74" s="69"/>
      <c r="H74" s="69"/>
      <c r="I74" s="69"/>
    </row>
    <row r="75" spans="2:9" x14ac:dyDescent="0.25">
      <c r="B75" s="69"/>
      <c r="C75" s="69"/>
      <c r="D75" s="69"/>
      <c r="E75" s="69"/>
      <c r="F75" s="69"/>
      <c r="G75" s="69"/>
      <c r="H75" s="69"/>
      <c r="I75" s="69"/>
    </row>
    <row r="76" spans="2:9" x14ac:dyDescent="0.25">
      <c r="B76" s="69"/>
      <c r="C76" s="69"/>
      <c r="D76" s="69"/>
      <c r="E76" s="69"/>
      <c r="F76" s="69"/>
      <c r="G76" s="69"/>
      <c r="H76" s="69"/>
      <c r="I76" s="69"/>
    </row>
    <row r="77" spans="2:9" x14ac:dyDescent="0.25">
      <c r="B77" s="69"/>
      <c r="C77" s="69"/>
      <c r="D77" s="69"/>
      <c r="E77" s="69"/>
      <c r="F77" s="69"/>
      <c r="G77" s="69"/>
      <c r="H77" s="69"/>
      <c r="I77" s="69"/>
    </row>
    <row r="78" spans="2:9" x14ac:dyDescent="0.25">
      <c r="B78" s="69"/>
      <c r="C78" s="69"/>
      <c r="D78" s="69"/>
      <c r="E78" s="69"/>
      <c r="F78" s="69"/>
      <c r="G78" s="69"/>
      <c r="H78" s="69"/>
      <c r="I78" s="69"/>
    </row>
    <row r="79" spans="2:9" ht="18" customHeight="1" x14ac:dyDescent="0.25">
      <c r="B79" s="69"/>
      <c r="C79" s="69"/>
      <c r="D79" s="69"/>
      <c r="E79" s="69"/>
      <c r="F79" s="69"/>
      <c r="G79" s="69"/>
      <c r="H79" s="69"/>
      <c r="I79" s="69"/>
    </row>
    <row r="80" spans="2:9" ht="24" customHeight="1" x14ac:dyDescent="0.25">
      <c r="B80" s="69"/>
      <c r="C80" s="69"/>
      <c r="D80" s="69"/>
      <c r="E80" s="69"/>
      <c r="F80" s="69"/>
      <c r="G80" s="69"/>
      <c r="H80" s="69"/>
      <c r="I80" s="69"/>
    </row>
    <row r="81" spans="2:9" x14ac:dyDescent="0.25">
      <c r="B81" s="203" t="str">
        <f>$D$3&amp; " -  "&amp;$I$3&amp; "  -  SMT " &amp;$I$5</f>
        <v>Amelia -  XII AKL  -  SMT 1 (SATU)</v>
      </c>
      <c r="C81" s="203"/>
      <c r="D81" s="203"/>
      <c r="E81" s="203"/>
      <c r="F81" s="203"/>
      <c r="G81" s="203"/>
      <c r="H81" s="203"/>
      <c r="I81" s="203"/>
    </row>
  </sheetData>
  <mergeCells count="60">
    <mergeCell ref="D39:E39"/>
    <mergeCell ref="D40:E40"/>
    <mergeCell ref="D41:E41"/>
    <mergeCell ref="G38:I38"/>
    <mergeCell ref="G39:I41"/>
    <mergeCell ref="C27:D27"/>
    <mergeCell ref="B9:I9"/>
    <mergeCell ref="G30:I30"/>
    <mergeCell ref="G27:I27"/>
    <mergeCell ref="G19:I19"/>
    <mergeCell ref="G21:I21"/>
    <mergeCell ref="G22:I22"/>
    <mergeCell ref="C14:D14"/>
    <mergeCell ref="C11:D11"/>
    <mergeCell ref="B13:I13"/>
    <mergeCell ref="C16:D16"/>
    <mergeCell ref="C17:D17"/>
    <mergeCell ref="C18:D18"/>
    <mergeCell ref="G17:I17"/>
    <mergeCell ref="C15:D15"/>
    <mergeCell ref="G11:I11"/>
    <mergeCell ref="B2:C2"/>
    <mergeCell ref="G18:I18"/>
    <mergeCell ref="B39:C39"/>
    <mergeCell ref="B40:C40"/>
    <mergeCell ref="G25:I25"/>
    <mergeCell ref="B20:I20"/>
    <mergeCell ref="C21:D21"/>
    <mergeCell ref="C19:D19"/>
    <mergeCell ref="C22:D22"/>
    <mergeCell ref="B26:I26"/>
    <mergeCell ref="C23:D23"/>
    <mergeCell ref="G23:I23"/>
    <mergeCell ref="G24:I24"/>
    <mergeCell ref="C24:D24"/>
    <mergeCell ref="C25:D25"/>
    <mergeCell ref="G14:I14"/>
    <mergeCell ref="B81:I81"/>
    <mergeCell ref="C30:D30"/>
    <mergeCell ref="C31:D31"/>
    <mergeCell ref="C32:D32"/>
    <mergeCell ref="C33:D33"/>
    <mergeCell ref="C46:D46"/>
    <mergeCell ref="G31:I31"/>
    <mergeCell ref="G32:I32"/>
    <mergeCell ref="G33:I33"/>
    <mergeCell ref="B41:C41"/>
    <mergeCell ref="G35:G36"/>
    <mergeCell ref="D35:E35"/>
    <mergeCell ref="D36:E36"/>
    <mergeCell ref="H35:I35"/>
    <mergeCell ref="H36:I36"/>
    <mergeCell ref="B38:E38"/>
    <mergeCell ref="G15:I15"/>
    <mergeCell ref="G16:I16"/>
    <mergeCell ref="D6:G6"/>
    <mergeCell ref="B3:C3"/>
    <mergeCell ref="B4:C4"/>
    <mergeCell ref="B5:C5"/>
    <mergeCell ref="B6:C6"/>
  </mergeCells>
  <conditionalFormatting sqref="E28:F29">
    <cfRule type="cellIs" dxfId="0" priority="7" stopIfTrue="1" operator="lessThan">
      <formula>75</formula>
    </cfRule>
  </conditionalFormatting>
  <printOptions horizontalCentered="1"/>
  <pageMargins left="0.39370078740157483" right="0.19685039370078741" top="0.78740157480314965" bottom="0.39370078740157483" header="0.39370078740157483" footer="0.39370078740157483"/>
  <pageSetup paperSize="9" scale="80" orientation="portrait" horizontalDpi="4294967292" r:id="rId1"/>
  <headerFooter alignWithMargins="0">
    <oddFooter>&amp;R&amp;10Halaman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9" r:id="rId4" name="Spinner 5">
              <controlPr defaultSize="0" print="0" autoPict="0">
                <anchor moveWithCells="1" sizeWithCells="1">
                  <from>
                    <xdr:col>6</xdr:col>
                    <xdr:colOff>714375</xdr:colOff>
                    <xdr:row>0</xdr:row>
                    <xdr:rowOff>104775</xdr:rowOff>
                  </from>
                  <to>
                    <xdr:col>6</xdr:col>
                    <xdr:colOff>1600200</xdr:colOff>
                    <xdr:row>5</xdr:row>
                    <xdr:rowOff>76200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7030A0"/>
  </sheetPr>
  <dimension ref="A1:CK60"/>
  <sheetViews>
    <sheetView tabSelected="1" topLeftCell="BB13" zoomScale="80" zoomScaleNormal="80" workbookViewId="0">
      <selection activeCell="BQ18" sqref="BQ18"/>
    </sheetView>
  </sheetViews>
  <sheetFormatPr defaultColWidth="8.75" defaultRowHeight="15.75" x14ac:dyDescent="0.25"/>
  <cols>
    <col min="1" max="1" width="4" style="1" customWidth="1"/>
    <col min="2" max="2" width="30.5" style="1" customWidth="1"/>
    <col min="3" max="3" width="12.25" style="1" customWidth="1"/>
    <col min="4" max="4" width="10.5" style="1" customWidth="1"/>
    <col min="5" max="5" width="10" style="1" customWidth="1"/>
    <col min="6" max="6" width="10.5" style="1" customWidth="1"/>
    <col min="7" max="7" width="10" style="1" customWidth="1"/>
    <col min="8" max="18" width="7.625" style="1" customWidth="1"/>
    <col min="19" max="33" width="7.625" style="1" hidden="1" customWidth="1"/>
    <col min="34" max="63" width="7.625" style="1" customWidth="1"/>
    <col min="64" max="65" width="8.75" style="1" customWidth="1"/>
    <col min="66" max="67" width="5.25" style="1" hidden="1" customWidth="1"/>
    <col min="68" max="68" width="5.25" style="1" customWidth="1"/>
    <col min="69" max="71" width="6.625" style="1" customWidth="1"/>
    <col min="72" max="16384" width="8.75" style="1"/>
  </cols>
  <sheetData>
    <row r="1" spans="1:89" ht="25.5" x14ac:dyDescent="0.35">
      <c r="A1" s="7" t="s">
        <v>22</v>
      </c>
    </row>
    <row r="2" spans="1:89" ht="25.5" x14ac:dyDescent="0.35">
      <c r="A2" s="7" t="s">
        <v>179</v>
      </c>
    </row>
    <row r="3" spans="1:89" ht="25.5" x14ac:dyDescent="0.35">
      <c r="A3" s="7" t="s">
        <v>154</v>
      </c>
    </row>
    <row r="5" spans="1:89" x14ac:dyDescent="0.25">
      <c r="B5" s="2" t="s">
        <v>23</v>
      </c>
      <c r="C5" s="105" t="s">
        <v>184</v>
      </c>
      <c r="F5" s="2" t="s">
        <v>24</v>
      </c>
      <c r="I5" s="78">
        <f>COUNTA(B15:B59)</f>
        <v>32</v>
      </c>
      <c r="J5" s="92" t="s">
        <v>108</v>
      </c>
      <c r="K5" s="2"/>
      <c r="L5" s="2"/>
      <c r="M5" s="2"/>
    </row>
    <row r="6" spans="1:89" ht="16.5" x14ac:dyDescent="0.3">
      <c r="B6" s="2" t="s">
        <v>85</v>
      </c>
      <c r="C6" s="2" t="s">
        <v>101</v>
      </c>
      <c r="F6" s="2" t="s">
        <v>25</v>
      </c>
      <c r="G6" s="63"/>
      <c r="I6" s="273" t="s">
        <v>183</v>
      </c>
      <c r="J6" s="273"/>
      <c r="K6" s="273"/>
      <c r="L6" s="273"/>
      <c r="M6" s="273"/>
      <c r="N6" s="8"/>
      <c r="O6" s="8"/>
      <c r="P6" s="15"/>
      <c r="Q6" s="15"/>
      <c r="R6" s="15"/>
      <c r="S6" s="8"/>
      <c r="T6" s="8"/>
      <c r="U6" s="15"/>
      <c r="V6" s="15"/>
      <c r="W6" s="15"/>
      <c r="X6" s="8"/>
      <c r="Y6" s="8"/>
      <c r="Z6" s="15"/>
      <c r="AA6" s="15"/>
      <c r="AB6" s="15"/>
      <c r="AC6" s="8"/>
      <c r="AD6" s="8"/>
      <c r="AE6" s="15"/>
      <c r="AF6" s="15"/>
      <c r="AG6" s="15"/>
      <c r="AH6" s="8"/>
      <c r="AI6" s="8"/>
      <c r="AJ6" s="15"/>
      <c r="AK6" s="15"/>
      <c r="AL6" s="15"/>
      <c r="AR6" s="8"/>
      <c r="AS6" s="8"/>
      <c r="AT6" s="15"/>
      <c r="AU6" s="15"/>
      <c r="AV6" s="15"/>
      <c r="AW6" s="8"/>
      <c r="AX6" s="8"/>
      <c r="AY6" s="15"/>
      <c r="AZ6" s="15"/>
      <c r="BA6" s="15"/>
      <c r="BB6" s="8"/>
      <c r="BC6" s="8"/>
      <c r="BD6" s="15"/>
      <c r="BE6" s="15"/>
      <c r="BF6" s="15"/>
      <c r="BG6" s="8"/>
      <c r="BH6" s="8"/>
      <c r="BI6" s="15"/>
      <c r="BJ6" s="15"/>
      <c r="BK6" s="15"/>
      <c r="BL6" s="8"/>
      <c r="BM6" s="8"/>
      <c r="BN6" s="15"/>
      <c r="BO6" s="15"/>
      <c r="BP6" s="15"/>
    </row>
    <row r="7" spans="1:89" ht="16.5" x14ac:dyDescent="0.3">
      <c r="B7" s="2" t="s">
        <v>86</v>
      </c>
      <c r="C7" s="2" t="s">
        <v>180</v>
      </c>
      <c r="F7" s="2" t="s">
        <v>26</v>
      </c>
      <c r="G7" s="63"/>
      <c r="I7" s="274" t="s">
        <v>77</v>
      </c>
      <c r="J7" s="274"/>
      <c r="K7" s="274"/>
      <c r="L7" s="274"/>
      <c r="M7" s="274"/>
      <c r="N7" s="8"/>
      <c r="O7" s="8"/>
      <c r="P7" s="15"/>
      <c r="Q7" s="15"/>
      <c r="R7" s="15"/>
      <c r="S7" s="8"/>
      <c r="T7" s="8"/>
      <c r="U7" s="15"/>
      <c r="V7" s="15"/>
      <c r="W7" s="15"/>
      <c r="X7" s="8"/>
      <c r="Y7" s="8"/>
      <c r="Z7" s="15"/>
      <c r="AA7" s="15"/>
      <c r="AB7" s="15"/>
      <c r="AC7" s="8"/>
      <c r="AD7" s="8"/>
      <c r="AE7" s="15"/>
      <c r="AF7" s="15"/>
      <c r="AG7" s="15"/>
      <c r="AH7" s="8"/>
      <c r="AI7" s="8"/>
      <c r="AJ7" s="15"/>
      <c r="AK7" s="15"/>
      <c r="AL7" s="15"/>
      <c r="AR7" s="8"/>
      <c r="AS7" s="8"/>
      <c r="AT7" s="15"/>
      <c r="AU7" s="15"/>
      <c r="AV7" s="15"/>
      <c r="AW7" s="8"/>
      <c r="AX7" s="8"/>
      <c r="AY7" s="15"/>
      <c r="AZ7" s="15"/>
      <c r="BA7" s="15"/>
      <c r="BB7" s="8"/>
      <c r="BC7" s="8"/>
      <c r="BD7" s="15"/>
      <c r="BE7" s="15"/>
      <c r="BF7" s="15"/>
      <c r="BG7" s="8"/>
      <c r="BH7" s="8"/>
      <c r="BI7" s="15"/>
      <c r="BJ7" s="15"/>
      <c r="BK7" s="15"/>
      <c r="BL7" s="8"/>
      <c r="BM7" s="8"/>
      <c r="BN7" s="15"/>
      <c r="BO7" s="15"/>
      <c r="BP7" s="15"/>
    </row>
    <row r="8" spans="1:89" x14ac:dyDescent="0.25">
      <c r="B8" s="2"/>
      <c r="C8" s="15"/>
      <c r="D8" s="8"/>
      <c r="E8" s="8"/>
      <c r="F8" s="15"/>
      <c r="G8" s="15"/>
      <c r="H8" s="15"/>
      <c r="I8" s="8"/>
      <c r="J8" s="8"/>
      <c r="K8" s="15"/>
      <c r="L8" s="15"/>
      <c r="M8" s="15"/>
      <c r="N8" s="8"/>
      <c r="O8" s="8"/>
      <c r="P8" s="15"/>
      <c r="Q8" s="15"/>
      <c r="R8" s="15"/>
      <c r="S8" s="8"/>
      <c r="T8" s="8"/>
      <c r="U8" s="15"/>
      <c r="V8" s="15"/>
      <c r="W8" s="15"/>
      <c r="X8" s="8"/>
      <c r="Y8" s="8"/>
      <c r="Z8" s="15"/>
      <c r="AA8" s="15"/>
      <c r="AB8" s="15"/>
      <c r="AC8" s="8"/>
      <c r="AD8" s="8"/>
      <c r="AE8" s="15"/>
      <c r="AF8" s="15"/>
      <c r="AG8" s="15"/>
      <c r="AH8" s="8"/>
      <c r="AI8" s="8"/>
      <c r="AJ8" s="15"/>
      <c r="AK8" s="15"/>
      <c r="AL8" s="15"/>
      <c r="AR8" s="73"/>
      <c r="AS8" s="73"/>
      <c r="AT8" s="74"/>
      <c r="AU8" s="74"/>
      <c r="AV8" s="74"/>
      <c r="AW8" s="73"/>
      <c r="AX8" s="73"/>
      <c r="AY8" s="15"/>
      <c r="AZ8" s="15"/>
      <c r="BA8" s="15"/>
      <c r="BB8" s="8"/>
      <c r="BC8" s="8"/>
      <c r="BD8" s="15"/>
      <c r="BE8" s="15"/>
      <c r="BF8" s="15"/>
      <c r="BG8" s="8"/>
      <c r="BH8" s="8"/>
      <c r="BI8" s="15"/>
      <c r="BJ8" s="15"/>
      <c r="BK8" s="15"/>
      <c r="BL8" s="8"/>
      <c r="BM8" s="8"/>
      <c r="BN8" s="15"/>
      <c r="BO8" s="15"/>
      <c r="BP8" s="15"/>
    </row>
    <row r="9" spans="1:89" hidden="1" x14ac:dyDescent="0.25">
      <c r="A9" s="10">
        <v>1</v>
      </c>
      <c r="B9" s="10">
        <v>2</v>
      </c>
      <c r="C9" s="10">
        <v>3</v>
      </c>
      <c r="D9" s="10">
        <v>4</v>
      </c>
      <c r="E9" s="10">
        <v>5</v>
      </c>
      <c r="F9" s="10">
        <v>6</v>
      </c>
      <c r="G9" s="10">
        <v>7</v>
      </c>
      <c r="H9" s="10">
        <v>8</v>
      </c>
      <c r="I9" s="10">
        <v>9</v>
      </c>
      <c r="J9" s="10">
        <v>10</v>
      </c>
      <c r="K9" s="10">
        <v>11</v>
      </c>
      <c r="L9" s="10">
        <v>12</v>
      </c>
      <c r="M9" s="10">
        <v>13</v>
      </c>
      <c r="N9" s="10">
        <v>14</v>
      </c>
      <c r="O9" s="10">
        <v>15</v>
      </c>
      <c r="P9" s="10">
        <v>16</v>
      </c>
      <c r="Q9" s="10">
        <v>17</v>
      </c>
      <c r="R9" s="10">
        <v>18</v>
      </c>
      <c r="S9" s="10">
        <v>19</v>
      </c>
      <c r="T9" s="10">
        <v>20</v>
      </c>
      <c r="U9" s="10">
        <v>21</v>
      </c>
      <c r="V9" s="10">
        <v>22</v>
      </c>
      <c r="W9" s="10">
        <v>23</v>
      </c>
      <c r="X9" s="10">
        <v>24</v>
      </c>
      <c r="Y9" s="10">
        <v>25</v>
      </c>
      <c r="Z9" s="10">
        <v>26</v>
      </c>
      <c r="AA9" s="10">
        <v>27</v>
      </c>
      <c r="AB9" s="10">
        <v>28</v>
      </c>
      <c r="AC9" s="10">
        <v>29</v>
      </c>
      <c r="AD9" s="10">
        <v>30</v>
      </c>
      <c r="AE9" s="10">
        <v>31</v>
      </c>
      <c r="AF9" s="10">
        <v>32</v>
      </c>
      <c r="AG9" s="10">
        <v>33</v>
      </c>
      <c r="AH9" s="10">
        <v>34</v>
      </c>
      <c r="AI9" s="10">
        <v>35</v>
      </c>
      <c r="AJ9" s="10">
        <v>36</v>
      </c>
      <c r="AK9" s="10">
        <v>37</v>
      </c>
      <c r="AL9" s="10">
        <v>38</v>
      </c>
      <c r="AM9" s="10">
        <v>39</v>
      </c>
      <c r="AN9" s="10">
        <v>40</v>
      </c>
      <c r="AO9" s="10">
        <v>41</v>
      </c>
      <c r="AP9" s="10">
        <v>42</v>
      </c>
      <c r="AQ9" s="10">
        <v>43</v>
      </c>
      <c r="AR9" s="10">
        <v>44</v>
      </c>
      <c r="AS9" s="10">
        <v>45</v>
      </c>
      <c r="AT9" s="10">
        <v>46</v>
      </c>
      <c r="AU9" s="10">
        <v>47</v>
      </c>
      <c r="AV9" s="10">
        <v>48</v>
      </c>
      <c r="AW9" s="10">
        <v>49</v>
      </c>
      <c r="AX9" s="10">
        <v>50</v>
      </c>
      <c r="AY9" s="10">
        <v>51</v>
      </c>
      <c r="AZ9" s="10">
        <v>52</v>
      </c>
      <c r="BA9" s="10">
        <v>53</v>
      </c>
      <c r="BB9" s="10">
        <v>54</v>
      </c>
      <c r="BC9" s="10">
        <v>55</v>
      </c>
      <c r="BD9" s="10">
        <v>56</v>
      </c>
      <c r="BE9" s="10">
        <v>57</v>
      </c>
      <c r="BF9" s="10">
        <v>58</v>
      </c>
      <c r="BG9" s="10">
        <v>59</v>
      </c>
      <c r="BH9" s="10">
        <v>60</v>
      </c>
      <c r="BI9" s="10">
        <v>61</v>
      </c>
      <c r="BJ9" s="10">
        <v>62</v>
      </c>
      <c r="BK9" s="10">
        <v>63</v>
      </c>
      <c r="BL9" s="10">
        <v>64</v>
      </c>
      <c r="BM9" s="10">
        <v>65</v>
      </c>
      <c r="BN9" s="10">
        <v>66</v>
      </c>
      <c r="BO9" s="10">
        <v>67</v>
      </c>
      <c r="BP9" s="10">
        <v>68</v>
      </c>
      <c r="BQ9" s="10">
        <v>69</v>
      </c>
      <c r="BR9" s="10">
        <v>70</v>
      </c>
      <c r="BS9" s="10">
        <v>71</v>
      </c>
      <c r="BT9" s="10"/>
      <c r="BU9" s="10"/>
      <c r="BV9" s="10"/>
      <c r="BW9" s="10"/>
      <c r="BX9" s="10"/>
      <c r="BY9" s="10"/>
      <c r="BZ9" s="10"/>
      <c r="CA9" s="10"/>
      <c r="CB9" s="10"/>
      <c r="CC9" s="10"/>
      <c r="CD9" s="10"/>
      <c r="CE9" s="10"/>
      <c r="CF9" s="10"/>
      <c r="CG9" s="10"/>
      <c r="CH9" s="10"/>
      <c r="CI9" s="10"/>
      <c r="CJ9" s="10"/>
      <c r="CK9" s="25"/>
    </row>
    <row r="10" spans="1:89" ht="16.5" thickBot="1" x14ac:dyDescent="0.3"/>
    <row r="11" spans="1:89" ht="15" customHeight="1" x14ac:dyDescent="0.25">
      <c r="A11" s="309" t="s">
        <v>27</v>
      </c>
      <c r="B11" s="309" t="s">
        <v>28</v>
      </c>
      <c r="C11" s="312" t="s">
        <v>1</v>
      </c>
      <c r="D11" s="282" t="s">
        <v>127</v>
      </c>
      <c r="E11" s="283"/>
      <c r="F11" s="284"/>
      <c r="G11" s="284"/>
      <c r="H11" s="284"/>
      <c r="I11" s="282" t="s">
        <v>128</v>
      </c>
      <c r="J11" s="283"/>
      <c r="K11" s="284"/>
      <c r="L11" s="284"/>
      <c r="M11" s="284"/>
      <c r="N11" s="282" t="s">
        <v>129</v>
      </c>
      <c r="O11" s="283"/>
      <c r="P11" s="284"/>
      <c r="Q11" s="284"/>
      <c r="R11" s="284"/>
      <c r="S11" s="282" t="s">
        <v>130</v>
      </c>
      <c r="T11" s="283"/>
      <c r="U11" s="284"/>
      <c r="V11" s="284"/>
      <c r="W11" s="284"/>
      <c r="X11" s="282" t="s">
        <v>131</v>
      </c>
      <c r="Y11" s="283"/>
      <c r="Z11" s="284"/>
      <c r="AA11" s="284"/>
      <c r="AB11" s="284"/>
      <c r="AC11" s="282" t="s">
        <v>132</v>
      </c>
      <c r="AD11" s="283"/>
      <c r="AE11" s="284"/>
      <c r="AF11" s="284"/>
      <c r="AG11" s="284"/>
      <c r="AH11" s="287" t="s">
        <v>133</v>
      </c>
      <c r="AI11" s="288"/>
      <c r="AJ11" s="289"/>
      <c r="AK11" s="289"/>
      <c r="AL11" s="289"/>
      <c r="AM11" s="287" t="s">
        <v>134</v>
      </c>
      <c r="AN11" s="288"/>
      <c r="AO11" s="289"/>
      <c r="AP11" s="289"/>
      <c r="AQ11" s="289"/>
      <c r="AR11" s="287" t="s">
        <v>135</v>
      </c>
      <c r="AS11" s="288"/>
      <c r="AT11" s="289"/>
      <c r="AU11" s="289"/>
      <c r="AV11" s="289"/>
      <c r="AW11" s="287" t="s">
        <v>136</v>
      </c>
      <c r="AX11" s="288"/>
      <c r="AY11" s="289"/>
      <c r="AZ11" s="289"/>
      <c r="BA11" s="289"/>
      <c r="BB11" s="287" t="s">
        <v>137</v>
      </c>
      <c r="BC11" s="288"/>
      <c r="BD11" s="289"/>
      <c r="BE11" s="289"/>
      <c r="BF11" s="289"/>
      <c r="BG11" s="299" t="s">
        <v>138</v>
      </c>
      <c r="BH11" s="300"/>
      <c r="BI11" s="300"/>
      <c r="BJ11" s="300"/>
      <c r="BK11" s="300"/>
      <c r="BL11" s="304" t="s">
        <v>164</v>
      </c>
      <c r="BM11" s="307" t="s">
        <v>168</v>
      </c>
      <c r="BN11" s="144"/>
      <c r="BO11" s="145"/>
      <c r="BP11" s="146"/>
      <c r="BQ11" s="293" t="s">
        <v>30</v>
      </c>
      <c r="BR11" s="294"/>
      <c r="BS11" s="295"/>
    </row>
    <row r="12" spans="1:89" s="9" customFormat="1" ht="19.899999999999999" customHeight="1" thickBot="1" x14ac:dyDescent="0.35">
      <c r="A12" s="310"/>
      <c r="B12" s="310"/>
      <c r="C12" s="313"/>
      <c r="D12" s="279" t="str">
        <f>'RAPORT XIIAKL '!$C14</f>
        <v>Pendidikan Agama dan Budi Pekerti</v>
      </c>
      <c r="E12" s="280"/>
      <c r="F12" s="281"/>
      <c r="G12" s="281"/>
      <c r="H12" s="281"/>
      <c r="I12" s="279" t="str">
        <f>'RAPORT XIIAKL '!$C15</f>
        <v xml:space="preserve">Pendidikan Pancasila </v>
      </c>
      <c r="J12" s="280"/>
      <c r="K12" s="281"/>
      <c r="L12" s="281"/>
      <c r="M12" s="281"/>
      <c r="N12" s="279" t="str">
        <f>'RAPORT XIIAKL '!$C16</f>
        <v>Bahasa Indonesia</v>
      </c>
      <c r="O12" s="280"/>
      <c r="P12" s="281"/>
      <c r="Q12" s="281"/>
      <c r="R12" s="281"/>
      <c r="S12" s="279" t="str">
        <f>'RAPORT XIIAKL '!$C17</f>
        <v>Pendidikan Jasmani, Olahraga dan Kesehatan</v>
      </c>
      <c r="T12" s="280"/>
      <c r="U12" s="281"/>
      <c r="V12" s="281"/>
      <c r="W12" s="281"/>
      <c r="X12" s="279" t="str">
        <f>'RAPORT XIIAKL '!$C18</f>
        <v>Sejarah</v>
      </c>
      <c r="Y12" s="280"/>
      <c r="Z12" s="281"/>
      <c r="AA12" s="281"/>
      <c r="AB12" s="281"/>
      <c r="AC12" s="279" t="str">
        <f>'RAPORT XIIAKL '!$C19</f>
        <v>Seni Budaya</v>
      </c>
      <c r="AD12" s="280"/>
      <c r="AE12" s="281"/>
      <c r="AF12" s="281"/>
      <c r="AG12" s="281"/>
      <c r="AH12" s="290" t="str">
        <f>'RAPORT XIIAKL '!$C21</f>
        <v>Matematika</v>
      </c>
      <c r="AI12" s="291"/>
      <c r="AJ12" s="292"/>
      <c r="AK12" s="292"/>
      <c r="AL12" s="292"/>
      <c r="AM12" s="290" t="str">
        <f>'RAPORT XIIAKL '!$C22</f>
        <v>Bahasa Inggris</v>
      </c>
      <c r="AN12" s="291"/>
      <c r="AO12" s="292"/>
      <c r="AP12" s="292"/>
      <c r="AQ12" s="292"/>
      <c r="AR12" s="290" t="str">
        <f>'RAPORT XIIAKL '!$C23</f>
        <v>Konsentrasi Keahlian</v>
      </c>
      <c r="AS12" s="291"/>
      <c r="AT12" s="292"/>
      <c r="AU12" s="292"/>
      <c r="AV12" s="292"/>
      <c r="AW12" s="290" t="str">
        <f>'RAPORT XIIAKL '!$C24</f>
        <v>Projek Kreatif dan Kewirausahaan</v>
      </c>
      <c r="AX12" s="291"/>
      <c r="AY12" s="292"/>
      <c r="AZ12" s="292"/>
      <c r="BA12" s="292"/>
      <c r="BB12" s="290" t="str">
        <f>'RAPORT XIIAKL '!$C25</f>
        <v>Mata Pelajaran Pilhan (Spreadsheet)</v>
      </c>
      <c r="BC12" s="291"/>
      <c r="BD12" s="292"/>
      <c r="BE12" s="292"/>
      <c r="BF12" s="292"/>
      <c r="BG12" s="301" t="str">
        <f>'RAPORT XIIAKL '!$C27</f>
        <v>Dasar Design Grafis</v>
      </c>
      <c r="BH12" s="302"/>
      <c r="BI12" s="303"/>
      <c r="BJ12" s="303"/>
      <c r="BK12" s="303"/>
      <c r="BL12" s="305"/>
      <c r="BM12" s="307"/>
      <c r="BN12" s="147"/>
      <c r="BO12" s="2"/>
      <c r="BP12" s="148"/>
      <c r="BQ12" s="296"/>
      <c r="BR12" s="297"/>
      <c r="BS12" s="298"/>
    </row>
    <row r="13" spans="1:89" ht="15.6" customHeight="1" thickBot="1" x14ac:dyDescent="0.3">
      <c r="A13" s="310"/>
      <c r="B13" s="310"/>
      <c r="C13" s="313"/>
      <c r="D13" s="270" t="s">
        <v>160</v>
      </c>
      <c r="E13" s="275" t="s">
        <v>125</v>
      </c>
      <c r="F13" s="271" t="s">
        <v>126</v>
      </c>
      <c r="G13" s="271" t="s">
        <v>161</v>
      </c>
      <c r="H13" s="277" t="s">
        <v>29</v>
      </c>
      <c r="I13" s="270" t="s">
        <v>160</v>
      </c>
      <c r="J13" s="275" t="s">
        <v>125</v>
      </c>
      <c r="K13" s="271" t="s">
        <v>126</v>
      </c>
      <c r="L13" s="271" t="s">
        <v>161</v>
      </c>
      <c r="M13" s="277" t="s">
        <v>29</v>
      </c>
      <c r="N13" s="270" t="s">
        <v>160</v>
      </c>
      <c r="O13" s="275" t="s">
        <v>125</v>
      </c>
      <c r="P13" s="271" t="s">
        <v>126</v>
      </c>
      <c r="Q13" s="271" t="s">
        <v>161</v>
      </c>
      <c r="R13" s="277" t="s">
        <v>29</v>
      </c>
      <c r="S13" s="270" t="s">
        <v>160</v>
      </c>
      <c r="T13" s="275" t="s">
        <v>125</v>
      </c>
      <c r="U13" s="271" t="s">
        <v>126</v>
      </c>
      <c r="V13" s="271" t="s">
        <v>161</v>
      </c>
      <c r="W13" s="277" t="s">
        <v>29</v>
      </c>
      <c r="X13" s="270" t="s">
        <v>160</v>
      </c>
      <c r="Y13" s="275" t="s">
        <v>125</v>
      </c>
      <c r="Z13" s="271" t="s">
        <v>126</v>
      </c>
      <c r="AA13" s="271" t="s">
        <v>161</v>
      </c>
      <c r="AB13" s="277" t="s">
        <v>29</v>
      </c>
      <c r="AC13" s="270" t="s">
        <v>160</v>
      </c>
      <c r="AD13" s="275" t="s">
        <v>125</v>
      </c>
      <c r="AE13" s="271" t="s">
        <v>126</v>
      </c>
      <c r="AF13" s="271" t="s">
        <v>161</v>
      </c>
      <c r="AG13" s="277" t="s">
        <v>29</v>
      </c>
      <c r="AH13" s="270" t="s">
        <v>160</v>
      </c>
      <c r="AI13" s="275" t="s">
        <v>125</v>
      </c>
      <c r="AJ13" s="271" t="s">
        <v>126</v>
      </c>
      <c r="AK13" s="271" t="s">
        <v>161</v>
      </c>
      <c r="AL13" s="277" t="s">
        <v>29</v>
      </c>
      <c r="AM13" s="270" t="s">
        <v>160</v>
      </c>
      <c r="AN13" s="275" t="s">
        <v>125</v>
      </c>
      <c r="AO13" s="271" t="s">
        <v>126</v>
      </c>
      <c r="AP13" s="271" t="s">
        <v>161</v>
      </c>
      <c r="AQ13" s="277" t="s">
        <v>29</v>
      </c>
      <c r="AR13" s="270" t="s">
        <v>160</v>
      </c>
      <c r="AS13" s="275" t="s">
        <v>125</v>
      </c>
      <c r="AT13" s="271" t="s">
        <v>126</v>
      </c>
      <c r="AU13" s="271" t="s">
        <v>161</v>
      </c>
      <c r="AV13" s="277" t="s">
        <v>29</v>
      </c>
      <c r="AW13" s="270" t="s">
        <v>160</v>
      </c>
      <c r="AX13" s="275" t="s">
        <v>125</v>
      </c>
      <c r="AY13" s="271" t="s">
        <v>126</v>
      </c>
      <c r="AZ13" s="271" t="s">
        <v>161</v>
      </c>
      <c r="BA13" s="277" t="s">
        <v>29</v>
      </c>
      <c r="BB13" s="270" t="s">
        <v>160</v>
      </c>
      <c r="BC13" s="275" t="s">
        <v>125</v>
      </c>
      <c r="BD13" s="271" t="s">
        <v>126</v>
      </c>
      <c r="BE13" s="271" t="s">
        <v>161</v>
      </c>
      <c r="BF13" s="277" t="s">
        <v>29</v>
      </c>
      <c r="BG13" s="270" t="s">
        <v>160</v>
      </c>
      <c r="BH13" s="275" t="s">
        <v>125</v>
      </c>
      <c r="BI13" s="271" t="s">
        <v>126</v>
      </c>
      <c r="BJ13" s="271" t="s">
        <v>161</v>
      </c>
      <c r="BK13" s="277" t="s">
        <v>29</v>
      </c>
      <c r="BL13" s="305"/>
      <c r="BM13" s="307"/>
      <c r="BN13" s="149"/>
      <c r="BO13" s="150"/>
      <c r="BP13" s="151"/>
      <c r="BQ13" s="285" t="s">
        <v>31</v>
      </c>
      <c r="BR13" s="285" t="s">
        <v>32</v>
      </c>
      <c r="BS13" s="285" t="s">
        <v>33</v>
      </c>
    </row>
    <row r="14" spans="1:89" ht="23.25" customHeight="1" thickBot="1" x14ac:dyDescent="0.3">
      <c r="A14" s="311"/>
      <c r="B14" s="311"/>
      <c r="C14" s="314"/>
      <c r="D14" s="270"/>
      <c r="E14" s="276"/>
      <c r="F14" s="272"/>
      <c r="G14" s="272"/>
      <c r="H14" s="277"/>
      <c r="I14" s="270"/>
      <c r="J14" s="276"/>
      <c r="K14" s="272"/>
      <c r="L14" s="272"/>
      <c r="M14" s="278"/>
      <c r="N14" s="270"/>
      <c r="O14" s="276"/>
      <c r="P14" s="272"/>
      <c r="Q14" s="272"/>
      <c r="R14" s="278"/>
      <c r="S14" s="270"/>
      <c r="T14" s="276"/>
      <c r="U14" s="272"/>
      <c r="V14" s="272"/>
      <c r="W14" s="277"/>
      <c r="X14" s="270"/>
      <c r="Y14" s="276"/>
      <c r="Z14" s="272"/>
      <c r="AA14" s="272"/>
      <c r="AB14" s="277"/>
      <c r="AC14" s="270"/>
      <c r="AD14" s="276"/>
      <c r="AE14" s="272"/>
      <c r="AF14" s="272"/>
      <c r="AG14" s="277"/>
      <c r="AH14" s="270"/>
      <c r="AI14" s="276"/>
      <c r="AJ14" s="272"/>
      <c r="AK14" s="272"/>
      <c r="AL14" s="278"/>
      <c r="AM14" s="270"/>
      <c r="AN14" s="276"/>
      <c r="AO14" s="272"/>
      <c r="AP14" s="272"/>
      <c r="AQ14" s="278"/>
      <c r="AR14" s="270"/>
      <c r="AS14" s="276"/>
      <c r="AT14" s="272"/>
      <c r="AU14" s="272"/>
      <c r="AV14" s="278"/>
      <c r="AW14" s="270"/>
      <c r="AX14" s="276"/>
      <c r="AY14" s="272"/>
      <c r="AZ14" s="272"/>
      <c r="BA14" s="278"/>
      <c r="BB14" s="270"/>
      <c r="BC14" s="276"/>
      <c r="BD14" s="272"/>
      <c r="BE14" s="272"/>
      <c r="BF14" s="278"/>
      <c r="BG14" s="270"/>
      <c r="BH14" s="276"/>
      <c r="BI14" s="272"/>
      <c r="BJ14" s="272"/>
      <c r="BK14" s="278"/>
      <c r="BL14" s="306"/>
      <c r="BM14" s="308"/>
      <c r="BN14" s="152"/>
      <c r="BO14" s="153"/>
      <c r="BP14" s="154"/>
      <c r="BQ14" s="286"/>
      <c r="BR14" s="286"/>
      <c r="BS14" s="286"/>
    </row>
    <row r="15" spans="1:89" ht="15.75" customHeight="1" x14ac:dyDescent="0.25">
      <c r="A15" s="19">
        <v>1</v>
      </c>
      <c r="B15" s="111" t="s">
        <v>185</v>
      </c>
      <c r="C15" s="170" t="s">
        <v>186</v>
      </c>
      <c r="D15" s="108">
        <v>85</v>
      </c>
      <c r="E15" s="189"/>
      <c r="F15" s="108">
        <v>84</v>
      </c>
      <c r="G15" s="108">
        <v>94</v>
      </c>
      <c r="H15" s="174">
        <f>(D15+E15+F15+G15)/3</f>
        <v>87.666666666666671</v>
      </c>
      <c r="I15" s="94">
        <v>90</v>
      </c>
      <c r="J15" s="187"/>
      <c r="K15" s="94">
        <v>95</v>
      </c>
      <c r="L15" s="180">
        <v>100</v>
      </c>
      <c r="M15" s="95">
        <f>(I15+J15+K15+L15)/3</f>
        <v>95</v>
      </c>
      <c r="N15" s="183">
        <v>88</v>
      </c>
      <c r="O15" s="187"/>
      <c r="P15" s="94">
        <v>89</v>
      </c>
      <c r="Q15" s="180">
        <v>100</v>
      </c>
      <c r="R15" s="95">
        <f>(N15+O15+P15+Q15)/3</f>
        <v>92.333333333333329</v>
      </c>
      <c r="S15" s="183"/>
      <c r="T15" s="94"/>
      <c r="U15" s="94"/>
      <c r="V15" s="94"/>
      <c r="W15" s="95">
        <f>(S15+T15+U15+V15)/4</f>
        <v>0</v>
      </c>
      <c r="X15" s="94"/>
      <c r="Y15" s="94"/>
      <c r="Z15" s="94"/>
      <c r="AA15" s="94"/>
      <c r="AB15" s="95">
        <f>(X15+Y15+Z15+AA15)/4</f>
        <v>0</v>
      </c>
      <c r="AC15" s="94"/>
      <c r="AD15" s="94"/>
      <c r="AE15" s="94"/>
      <c r="AF15" s="94"/>
      <c r="AG15" s="95">
        <f>(AC15+AD15+AE15+AF15)/4</f>
        <v>0</v>
      </c>
      <c r="AH15" s="94">
        <v>90</v>
      </c>
      <c r="AI15" s="187"/>
      <c r="AJ15" s="94">
        <v>95</v>
      </c>
      <c r="AK15" s="180">
        <v>90</v>
      </c>
      <c r="AL15" s="95">
        <f>(AH15+AI15+AJ15+AK15)/3</f>
        <v>91.666666666666671</v>
      </c>
      <c r="AM15" s="183">
        <v>90</v>
      </c>
      <c r="AN15" s="187"/>
      <c r="AO15" s="94">
        <v>90</v>
      </c>
      <c r="AP15" s="180">
        <v>100</v>
      </c>
      <c r="AQ15" s="95">
        <f>(AM15+AN15+AO15+AP15)/3</f>
        <v>93.333333333333329</v>
      </c>
      <c r="AR15" s="191">
        <v>92</v>
      </c>
      <c r="AS15" s="187"/>
      <c r="AT15" s="193">
        <v>87</v>
      </c>
      <c r="AU15" s="180">
        <v>100</v>
      </c>
      <c r="AV15" s="95">
        <f>(AR15+AS15+AT15+AU15)/3</f>
        <v>93</v>
      </c>
      <c r="AW15" s="195"/>
      <c r="AX15" s="196"/>
      <c r="AY15" s="197"/>
      <c r="AZ15" s="198">
        <v>90</v>
      </c>
      <c r="BA15" s="199">
        <f>(AW15+AX15+AY15+AZ15)/3</f>
        <v>30</v>
      </c>
      <c r="BB15" s="183">
        <v>87</v>
      </c>
      <c r="BC15" s="187"/>
      <c r="BD15" s="94">
        <v>85</v>
      </c>
      <c r="BE15" s="180">
        <v>100</v>
      </c>
      <c r="BF15" s="95">
        <f>(BB15+BC15+BD15+BE15)/3</f>
        <v>90.666666666666671</v>
      </c>
      <c r="BG15" s="183">
        <v>90</v>
      </c>
      <c r="BH15" s="187"/>
      <c r="BI15" s="94">
        <v>88</v>
      </c>
      <c r="BJ15" s="180">
        <v>100</v>
      </c>
      <c r="BK15" s="95">
        <f>(BG15+BH15+BI15+BJ15)/3</f>
        <v>92.666666666666671</v>
      </c>
      <c r="BL15" s="185">
        <f>H15+M15+R15+W15+AB15+AL15+AQ15+AV15+BA15+BF15+BK15</f>
        <v>766.33333333333326</v>
      </c>
      <c r="BM15" s="173">
        <f>BL15/9</f>
        <v>85.148148148148138</v>
      </c>
      <c r="BN15" s="94"/>
      <c r="BO15" s="94"/>
      <c r="BP15" s="95"/>
      <c r="BQ15" s="19">
        <v>2</v>
      </c>
      <c r="BR15" s="19">
        <v>1</v>
      </c>
      <c r="BS15" s="19">
        <v>0</v>
      </c>
    </row>
    <row r="16" spans="1:89" x14ac:dyDescent="0.25">
      <c r="A16" s="20">
        <v>2</v>
      </c>
      <c r="B16" s="111" t="s">
        <v>187</v>
      </c>
      <c r="C16" s="126" t="s">
        <v>188</v>
      </c>
      <c r="D16" s="109">
        <v>86</v>
      </c>
      <c r="E16" s="190"/>
      <c r="F16" s="109">
        <v>78</v>
      </c>
      <c r="G16" s="109">
        <v>94</v>
      </c>
      <c r="H16" s="97">
        <f t="shared" ref="H16:H59" si="0">(D16+E16+F16+G16)/3</f>
        <v>86</v>
      </c>
      <c r="I16" s="96">
        <v>95</v>
      </c>
      <c r="J16" s="188"/>
      <c r="K16" s="96">
        <v>90</v>
      </c>
      <c r="L16" s="181">
        <v>100</v>
      </c>
      <c r="M16" s="97">
        <f t="shared" ref="M16:M59" si="1">(I16+J16+K16+L16)/3</f>
        <v>95</v>
      </c>
      <c r="N16" s="177">
        <v>88</v>
      </c>
      <c r="O16" s="188"/>
      <c r="P16" s="96">
        <v>89</v>
      </c>
      <c r="Q16" s="181">
        <v>100</v>
      </c>
      <c r="R16" s="97">
        <f t="shared" ref="R16:R59" si="2">(N16+O16+P16+Q16)/3</f>
        <v>92.333333333333329</v>
      </c>
      <c r="S16" s="177"/>
      <c r="T16" s="96"/>
      <c r="U16" s="96"/>
      <c r="V16" s="96"/>
      <c r="W16" s="97">
        <f t="shared" ref="W16:W52" si="3">(S16+T16+U16+V16)/4</f>
        <v>0</v>
      </c>
      <c r="X16" s="96"/>
      <c r="Y16" s="96"/>
      <c r="Z16" s="96"/>
      <c r="AA16" s="96"/>
      <c r="AB16" s="97">
        <f t="shared" ref="AB16:AB52" si="4">(X16+Y16+Z16+AA16)/4</f>
        <v>0</v>
      </c>
      <c r="AC16" s="96"/>
      <c r="AD16" s="96"/>
      <c r="AE16" s="96"/>
      <c r="AF16" s="96"/>
      <c r="AG16" s="97">
        <f t="shared" ref="AG16:AG52" si="5">(AC16+AD16+AE16+AF16)/4</f>
        <v>0</v>
      </c>
      <c r="AH16" s="96">
        <v>90</v>
      </c>
      <c r="AI16" s="188"/>
      <c r="AJ16" s="96">
        <v>95</v>
      </c>
      <c r="AK16" s="181">
        <v>95</v>
      </c>
      <c r="AL16" s="97">
        <f t="shared" ref="AL16:AL59" si="6">(AH16+AI16+AJ16+AK16)/3</f>
        <v>93.333333333333329</v>
      </c>
      <c r="AM16" s="177">
        <v>88</v>
      </c>
      <c r="AN16" s="188"/>
      <c r="AO16" s="96">
        <v>92</v>
      </c>
      <c r="AP16" s="181">
        <v>100</v>
      </c>
      <c r="AQ16" s="97">
        <f t="shared" ref="AQ16:AQ59" si="7">(AM16+AN16+AO16+AP16)/3</f>
        <v>93.333333333333329</v>
      </c>
      <c r="AR16" s="192">
        <v>90</v>
      </c>
      <c r="AS16" s="188"/>
      <c r="AT16" s="194">
        <v>86</v>
      </c>
      <c r="AU16" s="181">
        <v>100</v>
      </c>
      <c r="AV16" s="97">
        <f>(AR16+AS16+AT16+AU16)/3</f>
        <v>92</v>
      </c>
      <c r="AW16" s="177">
        <v>90</v>
      </c>
      <c r="AX16" s="188"/>
      <c r="AY16" s="96">
        <v>89</v>
      </c>
      <c r="AZ16" s="181">
        <v>95</v>
      </c>
      <c r="BA16" s="97">
        <f t="shared" ref="BA16:BA59" si="8">(AW16+AX16+AY16+AZ16)/3</f>
        <v>91.333333333333329</v>
      </c>
      <c r="BB16" s="177">
        <v>85</v>
      </c>
      <c r="BC16" s="188"/>
      <c r="BD16" s="96">
        <v>85</v>
      </c>
      <c r="BE16" s="181">
        <v>100</v>
      </c>
      <c r="BF16" s="97">
        <f t="shared" ref="BF16:BF59" si="9">(BB16+BC16+BD16+BE16)/3</f>
        <v>90</v>
      </c>
      <c r="BG16" s="177">
        <v>90</v>
      </c>
      <c r="BH16" s="188"/>
      <c r="BI16" s="96">
        <v>92</v>
      </c>
      <c r="BJ16" s="181">
        <v>100</v>
      </c>
      <c r="BK16" s="97">
        <f t="shared" ref="BK16:BK59" si="10">(BG16+BH16+BI16+BJ16)/3</f>
        <v>94</v>
      </c>
      <c r="BL16" s="186">
        <f>H16+M16+R16+W16+AB16+AL16+AQ16+AV16+BA16+BF16+BK16</f>
        <v>827.33333333333337</v>
      </c>
      <c r="BM16" s="155">
        <f>BL16/9</f>
        <v>91.925925925925924</v>
      </c>
      <c r="BN16" s="96"/>
      <c r="BO16" s="96"/>
      <c r="BP16" s="97"/>
      <c r="BQ16" s="20">
        <v>2</v>
      </c>
      <c r="BR16" s="20">
        <v>2</v>
      </c>
      <c r="BS16" s="20">
        <v>0</v>
      </c>
    </row>
    <row r="17" spans="1:71" x14ac:dyDescent="0.25">
      <c r="A17" s="20">
        <v>3</v>
      </c>
      <c r="B17" s="111" t="s">
        <v>189</v>
      </c>
      <c r="C17" s="126" t="s">
        <v>190</v>
      </c>
      <c r="D17" s="109">
        <v>86</v>
      </c>
      <c r="E17" s="190"/>
      <c r="F17" s="109">
        <v>80</v>
      </c>
      <c r="G17" s="109">
        <v>94</v>
      </c>
      <c r="H17" s="175">
        <f t="shared" si="0"/>
        <v>86.666666666666671</v>
      </c>
      <c r="I17" s="96">
        <v>90</v>
      </c>
      <c r="J17" s="188"/>
      <c r="K17" s="96">
        <v>95</v>
      </c>
      <c r="L17" s="181">
        <v>100</v>
      </c>
      <c r="M17" s="97">
        <f t="shared" si="1"/>
        <v>95</v>
      </c>
      <c r="N17" s="177">
        <v>85</v>
      </c>
      <c r="O17" s="188"/>
      <c r="P17" s="96">
        <v>89</v>
      </c>
      <c r="Q17" s="181">
        <v>100</v>
      </c>
      <c r="R17" s="97">
        <f t="shared" si="2"/>
        <v>91.333333333333329</v>
      </c>
      <c r="S17" s="177"/>
      <c r="T17" s="96"/>
      <c r="U17" s="96"/>
      <c r="V17" s="96"/>
      <c r="W17" s="97">
        <f t="shared" si="3"/>
        <v>0</v>
      </c>
      <c r="X17" s="96"/>
      <c r="Y17" s="96"/>
      <c r="Z17" s="96"/>
      <c r="AA17" s="96"/>
      <c r="AB17" s="97">
        <f t="shared" si="4"/>
        <v>0</v>
      </c>
      <c r="AC17" s="96"/>
      <c r="AD17" s="96"/>
      <c r="AE17" s="96"/>
      <c r="AF17" s="96"/>
      <c r="AG17" s="97">
        <f t="shared" si="5"/>
        <v>0</v>
      </c>
      <c r="AH17" s="96">
        <v>90</v>
      </c>
      <c r="AI17" s="188"/>
      <c r="AJ17" s="96">
        <v>95</v>
      </c>
      <c r="AK17" s="181">
        <v>95</v>
      </c>
      <c r="AL17" s="97">
        <f t="shared" si="6"/>
        <v>93.333333333333329</v>
      </c>
      <c r="AM17" s="177">
        <v>88</v>
      </c>
      <c r="AN17" s="188"/>
      <c r="AO17" s="96">
        <v>92</v>
      </c>
      <c r="AP17" s="181">
        <v>100</v>
      </c>
      <c r="AQ17" s="97">
        <f t="shared" si="7"/>
        <v>93.333333333333329</v>
      </c>
      <c r="AR17" s="192">
        <v>92</v>
      </c>
      <c r="AS17" s="188"/>
      <c r="AT17" s="194">
        <v>90.5</v>
      </c>
      <c r="AU17" s="181">
        <v>100</v>
      </c>
      <c r="AV17" s="97">
        <f t="shared" ref="AV17:AV46" si="11">(AR17+AS17+AT17+AU17)/3</f>
        <v>94.166666666666671</v>
      </c>
      <c r="AW17" s="177">
        <v>90</v>
      </c>
      <c r="AX17" s="188"/>
      <c r="AY17" s="96">
        <v>88</v>
      </c>
      <c r="AZ17" s="181">
        <v>98</v>
      </c>
      <c r="BA17" s="97">
        <f t="shared" si="8"/>
        <v>92</v>
      </c>
      <c r="BB17" s="177">
        <v>86</v>
      </c>
      <c r="BC17" s="188"/>
      <c r="BD17" s="96">
        <v>85</v>
      </c>
      <c r="BE17" s="181">
        <v>100</v>
      </c>
      <c r="BF17" s="97">
        <f t="shared" si="9"/>
        <v>90.333333333333329</v>
      </c>
      <c r="BG17" s="177">
        <v>90</v>
      </c>
      <c r="BH17" s="188"/>
      <c r="BI17" s="96">
        <v>89</v>
      </c>
      <c r="BJ17" s="181">
        <v>100</v>
      </c>
      <c r="BK17" s="97">
        <f t="shared" si="10"/>
        <v>93</v>
      </c>
      <c r="BL17" s="186">
        <f t="shared" ref="BL17:BL59" si="12">H17+M17+R17+W17+AB17+AL17+AQ17+AV17+BA17+BF17+BK17</f>
        <v>829.16666666666663</v>
      </c>
      <c r="BM17" s="155">
        <f t="shared" ref="BM17:BM59" si="13">BL17/9</f>
        <v>92.129629629629619</v>
      </c>
      <c r="BN17" s="96"/>
      <c r="BO17" s="96"/>
      <c r="BP17" s="97"/>
      <c r="BQ17" s="20">
        <v>0</v>
      </c>
      <c r="BR17" s="20">
        <v>1</v>
      </c>
      <c r="BS17" s="20">
        <v>0</v>
      </c>
    </row>
    <row r="18" spans="1:71" x14ac:dyDescent="0.25">
      <c r="A18" s="20">
        <v>4</v>
      </c>
      <c r="B18" s="111" t="s">
        <v>191</v>
      </c>
      <c r="C18" s="126" t="s">
        <v>192</v>
      </c>
      <c r="D18" s="96">
        <v>88</v>
      </c>
      <c r="E18" s="188"/>
      <c r="F18" s="96">
        <v>78</v>
      </c>
      <c r="G18" s="96">
        <v>94</v>
      </c>
      <c r="H18" s="176">
        <f>(D18+E18+F18+G18)/3</f>
        <v>86.666666666666671</v>
      </c>
      <c r="I18" s="96">
        <v>80</v>
      </c>
      <c r="J18" s="188"/>
      <c r="K18" s="96">
        <v>95</v>
      </c>
      <c r="L18" s="181">
        <v>100</v>
      </c>
      <c r="M18" s="97">
        <f t="shared" si="1"/>
        <v>91.666666666666671</v>
      </c>
      <c r="N18" s="177">
        <v>83</v>
      </c>
      <c r="O18" s="188"/>
      <c r="P18" s="96">
        <v>89</v>
      </c>
      <c r="Q18" s="181">
        <v>100</v>
      </c>
      <c r="R18" s="97">
        <f t="shared" si="2"/>
        <v>90.666666666666671</v>
      </c>
      <c r="S18" s="177"/>
      <c r="T18" s="96"/>
      <c r="U18" s="96"/>
      <c r="V18" s="96"/>
      <c r="W18" s="97">
        <f t="shared" si="3"/>
        <v>0</v>
      </c>
      <c r="X18" s="96"/>
      <c r="Y18" s="96"/>
      <c r="Z18" s="96"/>
      <c r="AA18" s="96"/>
      <c r="AB18" s="97">
        <f t="shared" si="4"/>
        <v>0</v>
      </c>
      <c r="AC18" s="96"/>
      <c r="AD18" s="96"/>
      <c r="AE18" s="96"/>
      <c r="AF18" s="96"/>
      <c r="AG18" s="97">
        <f t="shared" si="5"/>
        <v>0</v>
      </c>
      <c r="AH18" s="96">
        <v>80</v>
      </c>
      <c r="AI18" s="188"/>
      <c r="AJ18" s="96">
        <v>85</v>
      </c>
      <c r="AK18" s="181">
        <v>95</v>
      </c>
      <c r="AL18" s="97">
        <f t="shared" si="6"/>
        <v>86.666666666666671</v>
      </c>
      <c r="AM18" s="177">
        <v>88</v>
      </c>
      <c r="AN18" s="188"/>
      <c r="AO18" s="96">
        <v>92</v>
      </c>
      <c r="AP18" s="181">
        <v>100</v>
      </c>
      <c r="AQ18" s="97">
        <f t="shared" si="7"/>
        <v>93.333333333333329</v>
      </c>
      <c r="AR18" s="192">
        <v>93</v>
      </c>
      <c r="AS18" s="188"/>
      <c r="AT18" s="194">
        <v>90.5</v>
      </c>
      <c r="AU18" s="181">
        <v>100</v>
      </c>
      <c r="AV18" s="97">
        <f t="shared" si="11"/>
        <v>94.5</v>
      </c>
      <c r="AW18" s="177">
        <v>90</v>
      </c>
      <c r="AX18" s="188"/>
      <c r="AY18" s="96">
        <v>90</v>
      </c>
      <c r="AZ18" s="181">
        <v>97</v>
      </c>
      <c r="BA18" s="97">
        <f t="shared" si="8"/>
        <v>92.333333333333329</v>
      </c>
      <c r="BB18" s="177">
        <v>89</v>
      </c>
      <c r="BC18" s="188"/>
      <c r="BD18" s="96">
        <v>87</v>
      </c>
      <c r="BE18" s="181">
        <v>100</v>
      </c>
      <c r="BF18" s="97">
        <f t="shared" si="9"/>
        <v>92</v>
      </c>
      <c r="BG18" s="177">
        <v>90</v>
      </c>
      <c r="BH18" s="188"/>
      <c r="BI18" s="96">
        <v>89</v>
      </c>
      <c r="BJ18" s="181">
        <v>100</v>
      </c>
      <c r="BK18" s="97">
        <f t="shared" si="10"/>
        <v>93</v>
      </c>
      <c r="BL18" s="186">
        <f t="shared" si="12"/>
        <v>820.83333333333337</v>
      </c>
      <c r="BM18" s="155">
        <f t="shared" si="13"/>
        <v>91.203703703703709</v>
      </c>
      <c r="BN18" s="96"/>
      <c r="BO18" s="96"/>
      <c r="BP18" s="97"/>
      <c r="BQ18" s="20">
        <v>3</v>
      </c>
      <c r="BR18" s="20">
        <v>0</v>
      </c>
      <c r="BS18" s="20">
        <v>0</v>
      </c>
    </row>
    <row r="19" spans="1:71" x14ac:dyDescent="0.25">
      <c r="A19" s="20">
        <v>5</v>
      </c>
      <c r="B19" s="111" t="s">
        <v>193</v>
      </c>
      <c r="C19" s="126" t="s">
        <v>194</v>
      </c>
      <c r="D19" s="96">
        <v>88</v>
      </c>
      <c r="E19" s="188"/>
      <c r="F19" s="96">
        <v>88</v>
      </c>
      <c r="G19" s="96">
        <v>100</v>
      </c>
      <c r="H19" s="176">
        <f t="shared" si="0"/>
        <v>92</v>
      </c>
      <c r="I19" s="96">
        <v>85</v>
      </c>
      <c r="J19" s="188"/>
      <c r="K19" s="96">
        <v>95</v>
      </c>
      <c r="L19" s="181">
        <v>100</v>
      </c>
      <c r="M19" s="97">
        <f t="shared" si="1"/>
        <v>93.333333333333329</v>
      </c>
      <c r="N19" s="177">
        <v>89</v>
      </c>
      <c r="O19" s="188"/>
      <c r="P19" s="96">
        <v>89</v>
      </c>
      <c r="Q19" s="181">
        <v>100</v>
      </c>
      <c r="R19" s="97">
        <f t="shared" si="2"/>
        <v>92.666666666666671</v>
      </c>
      <c r="S19" s="177"/>
      <c r="T19" s="96"/>
      <c r="U19" s="96"/>
      <c r="V19" s="96"/>
      <c r="W19" s="97">
        <f t="shared" si="3"/>
        <v>0</v>
      </c>
      <c r="X19" s="96"/>
      <c r="Y19" s="96"/>
      <c r="Z19" s="96"/>
      <c r="AA19" s="96"/>
      <c r="AB19" s="97">
        <f t="shared" si="4"/>
        <v>0</v>
      </c>
      <c r="AC19" s="96"/>
      <c r="AD19" s="96"/>
      <c r="AE19" s="96"/>
      <c r="AF19" s="96"/>
      <c r="AG19" s="97">
        <f t="shared" si="5"/>
        <v>0</v>
      </c>
      <c r="AH19" s="96">
        <v>90</v>
      </c>
      <c r="AI19" s="188"/>
      <c r="AJ19" s="96">
        <v>98</v>
      </c>
      <c r="AK19" s="181">
        <v>100</v>
      </c>
      <c r="AL19" s="97">
        <f t="shared" si="6"/>
        <v>96</v>
      </c>
      <c r="AM19" s="177">
        <v>90</v>
      </c>
      <c r="AN19" s="188"/>
      <c r="AO19" s="96">
        <v>92</v>
      </c>
      <c r="AP19" s="181">
        <v>100</v>
      </c>
      <c r="AQ19" s="97">
        <f t="shared" si="7"/>
        <v>94</v>
      </c>
      <c r="AR19" s="192">
        <v>92</v>
      </c>
      <c r="AS19" s="188"/>
      <c r="AT19" s="194">
        <v>87.5</v>
      </c>
      <c r="AU19" s="181">
        <v>100</v>
      </c>
      <c r="AV19" s="97">
        <f t="shared" si="11"/>
        <v>93.166666666666671</v>
      </c>
      <c r="AW19" s="177">
        <v>91</v>
      </c>
      <c r="AX19" s="188"/>
      <c r="AY19" s="96">
        <v>89</v>
      </c>
      <c r="AZ19" s="181">
        <v>96</v>
      </c>
      <c r="BA19" s="97">
        <f t="shared" si="8"/>
        <v>92</v>
      </c>
      <c r="BB19" s="177">
        <v>89</v>
      </c>
      <c r="BC19" s="188"/>
      <c r="BD19" s="96">
        <v>87</v>
      </c>
      <c r="BE19" s="181">
        <v>100</v>
      </c>
      <c r="BF19" s="97">
        <f t="shared" si="9"/>
        <v>92</v>
      </c>
      <c r="BG19" s="177">
        <v>90</v>
      </c>
      <c r="BH19" s="188"/>
      <c r="BI19" s="96">
        <v>92</v>
      </c>
      <c r="BJ19" s="181">
        <v>100</v>
      </c>
      <c r="BK19" s="97">
        <f t="shared" si="10"/>
        <v>94</v>
      </c>
      <c r="BL19" s="186">
        <f t="shared" si="12"/>
        <v>839.16666666666663</v>
      </c>
      <c r="BM19" s="155">
        <f t="shared" si="13"/>
        <v>93.240740740740733</v>
      </c>
      <c r="BN19" s="96"/>
      <c r="BO19" s="96"/>
      <c r="BP19" s="97"/>
      <c r="BQ19" s="20">
        <v>0</v>
      </c>
      <c r="BR19" s="20">
        <v>0</v>
      </c>
      <c r="BS19" s="20">
        <v>0</v>
      </c>
    </row>
    <row r="20" spans="1:71" x14ac:dyDescent="0.25">
      <c r="A20" s="20">
        <v>6</v>
      </c>
      <c r="B20" s="111" t="s">
        <v>195</v>
      </c>
      <c r="C20" s="126" t="s">
        <v>196</v>
      </c>
      <c r="D20" s="96">
        <v>90</v>
      </c>
      <c r="E20" s="188"/>
      <c r="F20" s="96">
        <v>90</v>
      </c>
      <c r="G20" s="96">
        <v>100</v>
      </c>
      <c r="H20" s="176">
        <f t="shared" si="0"/>
        <v>93.333333333333329</v>
      </c>
      <c r="I20" s="96">
        <v>85</v>
      </c>
      <c r="J20" s="188"/>
      <c r="K20" s="96">
        <v>95</v>
      </c>
      <c r="L20" s="181">
        <v>100</v>
      </c>
      <c r="M20" s="97">
        <f t="shared" si="1"/>
        <v>93.333333333333329</v>
      </c>
      <c r="N20" s="177">
        <v>95</v>
      </c>
      <c r="O20" s="188"/>
      <c r="P20" s="96">
        <v>89</v>
      </c>
      <c r="Q20" s="181">
        <v>100</v>
      </c>
      <c r="R20" s="97">
        <f t="shared" si="2"/>
        <v>94.666666666666671</v>
      </c>
      <c r="S20" s="177"/>
      <c r="T20" s="96"/>
      <c r="U20" s="96"/>
      <c r="V20" s="96"/>
      <c r="W20" s="97">
        <f t="shared" si="3"/>
        <v>0</v>
      </c>
      <c r="X20" s="96"/>
      <c r="Y20" s="96"/>
      <c r="Z20" s="96"/>
      <c r="AA20" s="96"/>
      <c r="AB20" s="97">
        <f t="shared" si="4"/>
        <v>0</v>
      </c>
      <c r="AC20" s="96"/>
      <c r="AD20" s="96"/>
      <c r="AE20" s="96"/>
      <c r="AF20" s="96"/>
      <c r="AG20" s="97">
        <f t="shared" si="5"/>
        <v>0</v>
      </c>
      <c r="AH20" s="96">
        <v>95</v>
      </c>
      <c r="AI20" s="188"/>
      <c r="AJ20" s="96">
        <v>98</v>
      </c>
      <c r="AK20" s="181">
        <v>100</v>
      </c>
      <c r="AL20" s="97">
        <f t="shared" si="6"/>
        <v>97.666666666666671</v>
      </c>
      <c r="AM20" s="177">
        <v>92</v>
      </c>
      <c r="AN20" s="188"/>
      <c r="AO20" s="96">
        <v>95</v>
      </c>
      <c r="AP20" s="181">
        <v>100</v>
      </c>
      <c r="AQ20" s="97">
        <f t="shared" si="7"/>
        <v>95.666666666666671</v>
      </c>
      <c r="AR20" s="192">
        <v>95</v>
      </c>
      <c r="AS20" s="188"/>
      <c r="AT20" s="194">
        <v>95</v>
      </c>
      <c r="AU20" s="181">
        <v>100</v>
      </c>
      <c r="AV20" s="97">
        <f t="shared" si="11"/>
        <v>96.666666666666671</v>
      </c>
      <c r="AW20" s="177">
        <v>90</v>
      </c>
      <c r="AX20" s="188"/>
      <c r="AY20" s="96">
        <v>90</v>
      </c>
      <c r="AZ20" s="181">
        <v>97</v>
      </c>
      <c r="BA20" s="97">
        <f t="shared" si="8"/>
        <v>92.333333333333329</v>
      </c>
      <c r="BB20" s="177">
        <v>90</v>
      </c>
      <c r="BC20" s="188"/>
      <c r="BD20" s="96">
        <v>90</v>
      </c>
      <c r="BE20" s="181">
        <v>100</v>
      </c>
      <c r="BF20" s="97">
        <f t="shared" si="9"/>
        <v>93.333333333333329</v>
      </c>
      <c r="BG20" s="177">
        <v>90</v>
      </c>
      <c r="BH20" s="188"/>
      <c r="BI20" s="96">
        <v>92</v>
      </c>
      <c r="BJ20" s="181">
        <v>100</v>
      </c>
      <c r="BK20" s="97">
        <f t="shared" si="10"/>
        <v>94</v>
      </c>
      <c r="BL20" s="186">
        <f t="shared" si="12"/>
        <v>851.00000000000011</v>
      </c>
      <c r="BM20" s="155">
        <f t="shared" si="13"/>
        <v>94.555555555555571</v>
      </c>
      <c r="BN20" s="96"/>
      <c r="BO20" s="96"/>
      <c r="BP20" s="97"/>
      <c r="BQ20" s="20">
        <v>0</v>
      </c>
      <c r="BR20" s="20">
        <v>0</v>
      </c>
      <c r="BS20" s="20">
        <v>0</v>
      </c>
    </row>
    <row r="21" spans="1:71" x14ac:dyDescent="0.25">
      <c r="A21" s="20">
        <v>7</v>
      </c>
      <c r="B21" s="111" t="s">
        <v>197</v>
      </c>
      <c r="C21" s="126" t="s">
        <v>198</v>
      </c>
      <c r="D21" s="96">
        <v>85</v>
      </c>
      <c r="E21" s="188"/>
      <c r="F21" s="96">
        <v>78</v>
      </c>
      <c r="G21" s="96">
        <v>100</v>
      </c>
      <c r="H21" s="176">
        <f t="shared" si="0"/>
        <v>87.666666666666671</v>
      </c>
      <c r="I21" s="96">
        <v>68</v>
      </c>
      <c r="J21" s="188"/>
      <c r="K21" s="96">
        <v>89</v>
      </c>
      <c r="L21" s="181">
        <v>100</v>
      </c>
      <c r="M21" s="97">
        <f t="shared" si="1"/>
        <v>85.666666666666671</v>
      </c>
      <c r="N21" s="177">
        <v>83</v>
      </c>
      <c r="O21" s="188"/>
      <c r="P21" s="96">
        <v>89</v>
      </c>
      <c r="Q21" s="181">
        <v>100</v>
      </c>
      <c r="R21" s="97">
        <f t="shared" si="2"/>
        <v>90.666666666666671</v>
      </c>
      <c r="S21" s="177"/>
      <c r="T21" s="96"/>
      <c r="U21" s="96"/>
      <c r="V21" s="96"/>
      <c r="W21" s="97">
        <f t="shared" si="3"/>
        <v>0</v>
      </c>
      <c r="X21" s="96"/>
      <c r="Y21" s="96"/>
      <c r="Z21" s="96"/>
      <c r="AA21" s="96"/>
      <c r="AB21" s="97">
        <f t="shared" si="4"/>
        <v>0</v>
      </c>
      <c r="AC21" s="96"/>
      <c r="AD21" s="96"/>
      <c r="AE21" s="96"/>
      <c r="AF21" s="96"/>
      <c r="AG21" s="97">
        <f t="shared" si="5"/>
        <v>0</v>
      </c>
      <c r="AH21" s="96">
        <v>75</v>
      </c>
      <c r="AI21" s="188"/>
      <c r="AJ21" s="96">
        <v>95</v>
      </c>
      <c r="AK21" s="181">
        <v>80</v>
      </c>
      <c r="AL21" s="97">
        <f t="shared" si="6"/>
        <v>83.333333333333329</v>
      </c>
      <c r="AM21" s="177">
        <v>85</v>
      </c>
      <c r="AN21" s="188"/>
      <c r="AO21" s="96">
        <v>90</v>
      </c>
      <c r="AP21" s="181">
        <v>100</v>
      </c>
      <c r="AQ21" s="97">
        <f t="shared" si="7"/>
        <v>91.666666666666671</v>
      </c>
      <c r="AR21" s="192">
        <v>81</v>
      </c>
      <c r="AS21" s="188"/>
      <c r="AT21" s="194">
        <v>82</v>
      </c>
      <c r="AU21" s="181">
        <v>100</v>
      </c>
      <c r="AV21" s="97">
        <f t="shared" si="11"/>
        <v>87.666666666666671</v>
      </c>
      <c r="AW21" s="177">
        <v>90</v>
      </c>
      <c r="AX21" s="188"/>
      <c r="AY21" s="96">
        <v>90</v>
      </c>
      <c r="AZ21" s="181">
        <v>98</v>
      </c>
      <c r="BA21" s="97">
        <f t="shared" si="8"/>
        <v>92.666666666666671</v>
      </c>
      <c r="BB21" s="177">
        <v>82</v>
      </c>
      <c r="BC21" s="188"/>
      <c r="BD21" s="96">
        <v>82</v>
      </c>
      <c r="BE21" s="181">
        <v>100</v>
      </c>
      <c r="BF21" s="97">
        <f t="shared" si="9"/>
        <v>88</v>
      </c>
      <c r="BG21" s="177">
        <v>90</v>
      </c>
      <c r="BH21" s="188"/>
      <c r="BI21" s="96">
        <v>93</v>
      </c>
      <c r="BJ21" s="181">
        <v>100</v>
      </c>
      <c r="BK21" s="97">
        <f t="shared" si="10"/>
        <v>94.333333333333329</v>
      </c>
      <c r="BL21" s="186">
        <f t="shared" si="12"/>
        <v>801.66666666666663</v>
      </c>
      <c r="BM21" s="155">
        <f t="shared" si="13"/>
        <v>89.074074074074076</v>
      </c>
      <c r="BN21" s="96"/>
      <c r="BO21" s="96"/>
      <c r="BP21" s="97"/>
      <c r="BQ21" s="20">
        <v>0</v>
      </c>
      <c r="BR21" s="20">
        <v>0</v>
      </c>
      <c r="BS21" s="20">
        <v>0</v>
      </c>
    </row>
    <row r="22" spans="1:71" x14ac:dyDescent="0.25">
      <c r="A22" s="20">
        <v>8</v>
      </c>
      <c r="B22" s="111" t="s">
        <v>199</v>
      </c>
      <c r="C22" s="126" t="s">
        <v>200</v>
      </c>
      <c r="D22" s="96">
        <v>85</v>
      </c>
      <c r="E22" s="188"/>
      <c r="F22" s="96">
        <v>78</v>
      </c>
      <c r="G22" s="96">
        <v>100</v>
      </c>
      <c r="H22" s="176">
        <f t="shared" si="0"/>
        <v>87.666666666666671</v>
      </c>
      <c r="I22" s="96">
        <v>80</v>
      </c>
      <c r="J22" s="188"/>
      <c r="K22" s="96">
        <v>95</v>
      </c>
      <c r="L22" s="181">
        <v>100</v>
      </c>
      <c r="M22" s="97">
        <f t="shared" si="1"/>
        <v>91.666666666666671</v>
      </c>
      <c r="N22" s="177">
        <v>87</v>
      </c>
      <c r="O22" s="188"/>
      <c r="P22" s="96">
        <v>89</v>
      </c>
      <c r="Q22" s="181">
        <v>100</v>
      </c>
      <c r="R22" s="97">
        <f t="shared" si="2"/>
        <v>92</v>
      </c>
      <c r="S22" s="177"/>
      <c r="T22" s="96"/>
      <c r="U22" s="96"/>
      <c r="V22" s="96"/>
      <c r="W22" s="97">
        <f t="shared" si="3"/>
        <v>0</v>
      </c>
      <c r="X22" s="96"/>
      <c r="Y22" s="96"/>
      <c r="Z22" s="96"/>
      <c r="AA22" s="96"/>
      <c r="AB22" s="97">
        <f t="shared" si="4"/>
        <v>0</v>
      </c>
      <c r="AC22" s="96"/>
      <c r="AD22" s="96"/>
      <c r="AE22" s="96"/>
      <c r="AF22" s="96"/>
      <c r="AG22" s="97">
        <f t="shared" si="5"/>
        <v>0</v>
      </c>
      <c r="AH22" s="96">
        <v>90</v>
      </c>
      <c r="AI22" s="188"/>
      <c r="AJ22" s="96">
        <v>85</v>
      </c>
      <c r="AK22" s="181">
        <v>100</v>
      </c>
      <c r="AL22" s="97">
        <f t="shared" si="6"/>
        <v>91.666666666666671</v>
      </c>
      <c r="AM22" s="177">
        <v>88</v>
      </c>
      <c r="AN22" s="188"/>
      <c r="AO22" s="96">
        <v>92</v>
      </c>
      <c r="AP22" s="181">
        <v>100</v>
      </c>
      <c r="AQ22" s="97">
        <f t="shared" si="7"/>
        <v>93.333333333333329</v>
      </c>
      <c r="AR22" s="192">
        <v>92</v>
      </c>
      <c r="AS22" s="188"/>
      <c r="AT22" s="194">
        <v>87</v>
      </c>
      <c r="AU22" s="181">
        <v>100</v>
      </c>
      <c r="AV22" s="97">
        <f t="shared" si="11"/>
        <v>93</v>
      </c>
      <c r="AW22" s="177">
        <v>91</v>
      </c>
      <c r="AX22" s="188"/>
      <c r="AY22" s="96">
        <v>91</v>
      </c>
      <c r="AZ22" s="181">
        <v>96</v>
      </c>
      <c r="BA22" s="97">
        <f t="shared" si="8"/>
        <v>92.666666666666671</v>
      </c>
      <c r="BB22" s="177">
        <v>85</v>
      </c>
      <c r="BC22" s="188"/>
      <c r="BD22" s="96">
        <v>85</v>
      </c>
      <c r="BE22" s="181">
        <v>100</v>
      </c>
      <c r="BF22" s="97">
        <f t="shared" si="9"/>
        <v>90</v>
      </c>
      <c r="BG22" s="177">
        <v>90</v>
      </c>
      <c r="BH22" s="188"/>
      <c r="BI22" s="96">
        <v>93</v>
      </c>
      <c r="BJ22" s="181">
        <v>100</v>
      </c>
      <c r="BK22" s="97">
        <f t="shared" si="10"/>
        <v>94.333333333333329</v>
      </c>
      <c r="BL22" s="186">
        <f t="shared" si="12"/>
        <v>826.33333333333337</v>
      </c>
      <c r="BM22" s="155">
        <f t="shared" si="13"/>
        <v>91.814814814814824</v>
      </c>
      <c r="BN22" s="96"/>
      <c r="BO22" s="96"/>
      <c r="BP22" s="97"/>
      <c r="BQ22" s="20">
        <v>1</v>
      </c>
      <c r="BR22" s="20">
        <v>0</v>
      </c>
      <c r="BS22" s="20">
        <v>0</v>
      </c>
    </row>
    <row r="23" spans="1:71" x14ac:dyDescent="0.25">
      <c r="A23" s="20">
        <v>9</v>
      </c>
      <c r="B23" s="111" t="s">
        <v>201</v>
      </c>
      <c r="C23" s="126" t="s">
        <v>202</v>
      </c>
      <c r="D23" s="96">
        <v>85</v>
      </c>
      <c r="E23" s="188"/>
      <c r="F23" s="96">
        <v>78</v>
      </c>
      <c r="G23" s="96">
        <v>100</v>
      </c>
      <c r="H23" s="176">
        <f t="shared" si="0"/>
        <v>87.666666666666671</v>
      </c>
      <c r="I23" s="96">
        <v>90</v>
      </c>
      <c r="J23" s="188"/>
      <c r="K23" s="96">
        <v>89</v>
      </c>
      <c r="L23" s="181">
        <v>100</v>
      </c>
      <c r="M23" s="97">
        <f t="shared" si="1"/>
        <v>93</v>
      </c>
      <c r="N23" s="177">
        <v>85</v>
      </c>
      <c r="O23" s="188"/>
      <c r="P23" s="96">
        <v>89</v>
      </c>
      <c r="Q23" s="181">
        <v>100</v>
      </c>
      <c r="R23" s="97">
        <f t="shared" si="2"/>
        <v>91.333333333333329</v>
      </c>
      <c r="S23" s="177"/>
      <c r="T23" s="96"/>
      <c r="U23" s="96"/>
      <c r="V23" s="96"/>
      <c r="W23" s="97">
        <f t="shared" si="3"/>
        <v>0</v>
      </c>
      <c r="X23" s="96"/>
      <c r="Y23" s="96"/>
      <c r="Z23" s="96"/>
      <c r="AA23" s="96"/>
      <c r="AB23" s="97">
        <f t="shared" si="4"/>
        <v>0</v>
      </c>
      <c r="AC23" s="96"/>
      <c r="AD23" s="96"/>
      <c r="AE23" s="96"/>
      <c r="AF23" s="96"/>
      <c r="AG23" s="97">
        <f t="shared" si="5"/>
        <v>0</v>
      </c>
      <c r="AH23" s="96">
        <v>85</v>
      </c>
      <c r="AI23" s="188"/>
      <c r="AJ23" s="96">
        <v>95</v>
      </c>
      <c r="AK23" s="181">
        <v>90</v>
      </c>
      <c r="AL23" s="97">
        <f t="shared" si="6"/>
        <v>90</v>
      </c>
      <c r="AM23" s="177">
        <v>90</v>
      </c>
      <c r="AN23" s="188"/>
      <c r="AO23" s="96">
        <v>90</v>
      </c>
      <c r="AP23" s="181">
        <v>100</v>
      </c>
      <c r="AQ23" s="97">
        <f t="shared" si="7"/>
        <v>93.333333333333329</v>
      </c>
      <c r="AR23" s="192">
        <v>91.5</v>
      </c>
      <c r="AS23" s="188"/>
      <c r="AT23" s="194">
        <v>90</v>
      </c>
      <c r="AU23" s="181">
        <v>100</v>
      </c>
      <c r="AV23" s="97">
        <f t="shared" si="11"/>
        <v>93.833333333333329</v>
      </c>
      <c r="AW23" s="177">
        <v>90</v>
      </c>
      <c r="AX23" s="188"/>
      <c r="AY23" s="96">
        <v>89</v>
      </c>
      <c r="AZ23" s="181">
        <v>95</v>
      </c>
      <c r="BA23" s="97">
        <f t="shared" si="8"/>
        <v>91.333333333333329</v>
      </c>
      <c r="BB23" s="177">
        <v>82</v>
      </c>
      <c r="BC23" s="188"/>
      <c r="BD23" s="96">
        <v>82</v>
      </c>
      <c r="BE23" s="181">
        <v>100</v>
      </c>
      <c r="BF23" s="97">
        <f t="shared" si="9"/>
        <v>88</v>
      </c>
      <c r="BG23" s="177">
        <v>90</v>
      </c>
      <c r="BH23" s="188"/>
      <c r="BI23" s="96">
        <v>89</v>
      </c>
      <c r="BJ23" s="181">
        <v>100</v>
      </c>
      <c r="BK23" s="97">
        <f t="shared" si="10"/>
        <v>93</v>
      </c>
      <c r="BL23" s="186">
        <f t="shared" si="12"/>
        <v>821.5</v>
      </c>
      <c r="BM23" s="155">
        <f t="shared" si="13"/>
        <v>91.277777777777771</v>
      </c>
      <c r="BN23" s="96"/>
      <c r="BO23" s="96"/>
      <c r="BP23" s="97"/>
      <c r="BQ23" s="20">
        <v>4</v>
      </c>
      <c r="BR23" s="20">
        <v>0</v>
      </c>
      <c r="BS23" s="20">
        <v>0</v>
      </c>
    </row>
    <row r="24" spans="1:71" x14ac:dyDescent="0.25">
      <c r="A24" s="20">
        <v>10</v>
      </c>
      <c r="B24" s="111" t="s">
        <v>203</v>
      </c>
      <c r="C24" s="126" t="s">
        <v>204</v>
      </c>
      <c r="D24" s="96">
        <v>85</v>
      </c>
      <c r="E24" s="188"/>
      <c r="F24" s="96">
        <v>80</v>
      </c>
      <c r="G24" s="96">
        <v>100</v>
      </c>
      <c r="H24" s="176">
        <f t="shared" si="0"/>
        <v>88.333333333333329</v>
      </c>
      <c r="I24" s="96">
        <v>68</v>
      </c>
      <c r="J24" s="188"/>
      <c r="K24" s="96">
        <v>90</v>
      </c>
      <c r="L24" s="181">
        <v>100</v>
      </c>
      <c r="M24" s="97">
        <f t="shared" si="1"/>
        <v>86</v>
      </c>
      <c r="N24" s="177">
        <v>84</v>
      </c>
      <c r="O24" s="188"/>
      <c r="P24" s="96">
        <v>89</v>
      </c>
      <c r="Q24" s="181">
        <v>100</v>
      </c>
      <c r="R24" s="97">
        <f t="shared" si="2"/>
        <v>91</v>
      </c>
      <c r="S24" s="177"/>
      <c r="T24" s="96"/>
      <c r="U24" s="96"/>
      <c r="V24" s="96"/>
      <c r="W24" s="97">
        <f t="shared" si="3"/>
        <v>0</v>
      </c>
      <c r="X24" s="96"/>
      <c r="Y24" s="96"/>
      <c r="Z24" s="96"/>
      <c r="AA24" s="96"/>
      <c r="AB24" s="97">
        <f t="shared" si="4"/>
        <v>0</v>
      </c>
      <c r="AC24" s="96"/>
      <c r="AD24" s="96"/>
      <c r="AE24" s="96"/>
      <c r="AF24" s="96"/>
      <c r="AG24" s="97">
        <f t="shared" si="5"/>
        <v>0</v>
      </c>
      <c r="AH24" s="96">
        <v>75</v>
      </c>
      <c r="AI24" s="188"/>
      <c r="AJ24" s="96">
        <v>95</v>
      </c>
      <c r="AK24" s="181">
        <v>80</v>
      </c>
      <c r="AL24" s="97">
        <f t="shared" si="6"/>
        <v>83.333333333333329</v>
      </c>
      <c r="AM24" s="177">
        <v>88</v>
      </c>
      <c r="AN24" s="188"/>
      <c r="AO24" s="96">
        <v>90</v>
      </c>
      <c r="AP24" s="181">
        <v>100</v>
      </c>
      <c r="AQ24" s="97">
        <f t="shared" si="7"/>
        <v>92.666666666666671</v>
      </c>
      <c r="AR24" s="192">
        <v>85</v>
      </c>
      <c r="AS24" s="188"/>
      <c r="AT24" s="194">
        <v>82</v>
      </c>
      <c r="AU24" s="181">
        <v>100</v>
      </c>
      <c r="AV24" s="97">
        <f t="shared" si="11"/>
        <v>89</v>
      </c>
      <c r="AW24" s="177">
        <v>90</v>
      </c>
      <c r="AX24" s="188"/>
      <c r="AY24" s="96">
        <v>88</v>
      </c>
      <c r="AZ24" s="181">
        <v>98</v>
      </c>
      <c r="BA24" s="97">
        <f t="shared" si="8"/>
        <v>92</v>
      </c>
      <c r="BB24" s="177">
        <v>82</v>
      </c>
      <c r="BC24" s="188"/>
      <c r="BD24" s="96">
        <v>82</v>
      </c>
      <c r="BE24" s="181">
        <v>100</v>
      </c>
      <c r="BF24" s="97">
        <f t="shared" si="9"/>
        <v>88</v>
      </c>
      <c r="BG24" s="177">
        <v>90</v>
      </c>
      <c r="BH24" s="188"/>
      <c r="BI24" s="96">
        <v>92</v>
      </c>
      <c r="BJ24" s="181">
        <v>100</v>
      </c>
      <c r="BK24" s="97">
        <f t="shared" si="10"/>
        <v>94</v>
      </c>
      <c r="BL24" s="186">
        <f t="shared" si="12"/>
        <v>804.33333333333326</v>
      </c>
      <c r="BM24" s="155">
        <f t="shared" si="13"/>
        <v>89.370370370370367</v>
      </c>
      <c r="BN24" s="96"/>
      <c r="BO24" s="96"/>
      <c r="BP24" s="97"/>
      <c r="BQ24" s="20">
        <v>0</v>
      </c>
      <c r="BR24" s="20">
        <v>0</v>
      </c>
      <c r="BS24" s="20">
        <v>0</v>
      </c>
    </row>
    <row r="25" spans="1:71" x14ac:dyDescent="0.25">
      <c r="A25" s="20">
        <v>11</v>
      </c>
      <c r="B25" s="111" t="s">
        <v>205</v>
      </c>
      <c r="C25" s="126" t="s">
        <v>206</v>
      </c>
      <c r="D25" s="96">
        <v>85</v>
      </c>
      <c r="E25" s="188"/>
      <c r="F25" s="96">
        <v>78</v>
      </c>
      <c r="G25" s="96">
        <v>100</v>
      </c>
      <c r="H25" s="97">
        <f t="shared" si="0"/>
        <v>87.666666666666671</v>
      </c>
      <c r="I25" s="96">
        <v>68</v>
      </c>
      <c r="J25" s="188"/>
      <c r="K25" s="96">
        <v>89</v>
      </c>
      <c r="L25" s="181">
        <v>100</v>
      </c>
      <c r="M25" s="97">
        <f t="shared" si="1"/>
        <v>85.666666666666671</v>
      </c>
      <c r="N25" s="177">
        <v>82</v>
      </c>
      <c r="O25" s="188"/>
      <c r="P25" s="96">
        <v>89</v>
      </c>
      <c r="Q25" s="181">
        <v>100</v>
      </c>
      <c r="R25" s="97">
        <f t="shared" si="2"/>
        <v>90.333333333333329</v>
      </c>
      <c r="S25" s="177"/>
      <c r="T25" s="96"/>
      <c r="U25" s="96"/>
      <c r="V25" s="96"/>
      <c r="W25" s="97">
        <f t="shared" si="3"/>
        <v>0</v>
      </c>
      <c r="X25" s="96"/>
      <c r="Y25" s="96"/>
      <c r="Z25" s="96"/>
      <c r="AA25" s="96"/>
      <c r="AB25" s="97">
        <f t="shared" si="4"/>
        <v>0</v>
      </c>
      <c r="AC25" s="96"/>
      <c r="AD25" s="96"/>
      <c r="AE25" s="96"/>
      <c r="AF25" s="96"/>
      <c r="AG25" s="97">
        <f t="shared" si="5"/>
        <v>0</v>
      </c>
      <c r="AH25" s="96">
        <v>75</v>
      </c>
      <c r="AI25" s="188"/>
      <c r="AJ25" s="96">
        <v>85</v>
      </c>
      <c r="AK25" s="181">
        <v>80</v>
      </c>
      <c r="AL25" s="97">
        <f t="shared" si="6"/>
        <v>80</v>
      </c>
      <c r="AM25" s="177">
        <v>88</v>
      </c>
      <c r="AN25" s="188"/>
      <c r="AO25" s="96">
        <v>90</v>
      </c>
      <c r="AP25" s="181">
        <v>100</v>
      </c>
      <c r="AQ25" s="97">
        <f t="shared" si="7"/>
        <v>92.666666666666671</v>
      </c>
      <c r="AR25" s="192">
        <v>87.5</v>
      </c>
      <c r="AS25" s="188"/>
      <c r="AT25" s="194">
        <v>83.5</v>
      </c>
      <c r="AU25" s="181">
        <v>100</v>
      </c>
      <c r="AV25" s="97">
        <f t="shared" si="11"/>
        <v>90.333333333333329</v>
      </c>
      <c r="AW25" s="177">
        <v>90</v>
      </c>
      <c r="AX25" s="188"/>
      <c r="AY25" s="96">
        <v>92</v>
      </c>
      <c r="AZ25" s="181">
        <v>97</v>
      </c>
      <c r="BA25" s="97">
        <f t="shared" si="8"/>
        <v>93</v>
      </c>
      <c r="BB25" s="177">
        <v>82</v>
      </c>
      <c r="BC25" s="188"/>
      <c r="BD25" s="96">
        <v>82</v>
      </c>
      <c r="BE25" s="181">
        <v>100</v>
      </c>
      <c r="BF25" s="97">
        <f t="shared" si="9"/>
        <v>88</v>
      </c>
      <c r="BG25" s="177">
        <v>90</v>
      </c>
      <c r="BH25" s="188"/>
      <c r="BI25" s="96">
        <v>87</v>
      </c>
      <c r="BJ25" s="181">
        <v>100</v>
      </c>
      <c r="BK25" s="97">
        <f t="shared" si="10"/>
        <v>92.333333333333329</v>
      </c>
      <c r="BL25" s="186">
        <f t="shared" si="12"/>
        <v>800.00000000000011</v>
      </c>
      <c r="BM25" s="155">
        <f t="shared" si="13"/>
        <v>88.8888888888889</v>
      </c>
      <c r="BN25" s="96"/>
      <c r="BO25" s="96"/>
      <c r="BP25" s="97"/>
      <c r="BQ25" s="20">
        <v>0</v>
      </c>
      <c r="BR25" s="20">
        <v>0</v>
      </c>
      <c r="BS25" s="20">
        <v>0</v>
      </c>
    </row>
    <row r="26" spans="1:71" x14ac:dyDescent="0.25">
      <c r="A26" s="20">
        <v>12</v>
      </c>
      <c r="B26" s="111" t="s">
        <v>207</v>
      </c>
      <c r="C26" s="126" t="s">
        <v>208</v>
      </c>
      <c r="D26" s="96">
        <v>87</v>
      </c>
      <c r="E26" s="188"/>
      <c r="F26" s="96">
        <v>78</v>
      </c>
      <c r="G26" s="96">
        <v>100</v>
      </c>
      <c r="H26" s="175">
        <f t="shared" si="0"/>
        <v>88.333333333333329</v>
      </c>
      <c r="I26" s="96">
        <v>90</v>
      </c>
      <c r="J26" s="188"/>
      <c r="K26" s="96">
        <v>90</v>
      </c>
      <c r="L26" s="181">
        <v>100</v>
      </c>
      <c r="M26" s="97">
        <f t="shared" si="1"/>
        <v>93.333333333333329</v>
      </c>
      <c r="N26" s="177">
        <v>88</v>
      </c>
      <c r="O26" s="188"/>
      <c r="P26" s="96">
        <v>89</v>
      </c>
      <c r="Q26" s="181">
        <v>100</v>
      </c>
      <c r="R26" s="97">
        <f t="shared" si="2"/>
        <v>92.333333333333329</v>
      </c>
      <c r="S26" s="177"/>
      <c r="T26" s="96"/>
      <c r="U26" s="96"/>
      <c r="V26" s="96"/>
      <c r="W26" s="97">
        <f t="shared" si="3"/>
        <v>0</v>
      </c>
      <c r="X26" s="96"/>
      <c r="Y26" s="96"/>
      <c r="Z26" s="96"/>
      <c r="AA26" s="96"/>
      <c r="AB26" s="97">
        <f t="shared" si="4"/>
        <v>0</v>
      </c>
      <c r="AC26" s="96"/>
      <c r="AD26" s="96"/>
      <c r="AE26" s="96"/>
      <c r="AF26" s="96"/>
      <c r="AG26" s="97">
        <f t="shared" si="5"/>
        <v>0</v>
      </c>
      <c r="AH26" s="96">
        <v>80</v>
      </c>
      <c r="AI26" s="188"/>
      <c r="AJ26" s="96">
        <v>95</v>
      </c>
      <c r="AK26" s="181">
        <v>95</v>
      </c>
      <c r="AL26" s="97">
        <f t="shared" si="6"/>
        <v>90</v>
      </c>
      <c r="AM26" s="177">
        <v>90</v>
      </c>
      <c r="AN26" s="188"/>
      <c r="AO26" s="96">
        <v>95</v>
      </c>
      <c r="AP26" s="181">
        <v>100</v>
      </c>
      <c r="AQ26" s="97">
        <f t="shared" si="7"/>
        <v>95</v>
      </c>
      <c r="AR26" s="192">
        <v>88</v>
      </c>
      <c r="AS26" s="188"/>
      <c r="AT26" s="194">
        <v>87</v>
      </c>
      <c r="AU26" s="181">
        <v>100</v>
      </c>
      <c r="AV26" s="97">
        <f t="shared" si="11"/>
        <v>91.666666666666671</v>
      </c>
      <c r="AW26" s="177">
        <v>90</v>
      </c>
      <c r="AX26" s="188"/>
      <c r="AY26" s="96">
        <v>90</v>
      </c>
      <c r="AZ26" s="181">
        <v>96</v>
      </c>
      <c r="BA26" s="97">
        <f t="shared" si="8"/>
        <v>92</v>
      </c>
      <c r="BB26" s="177">
        <v>82</v>
      </c>
      <c r="BC26" s="188"/>
      <c r="BD26" s="96">
        <v>82</v>
      </c>
      <c r="BE26" s="181">
        <v>100</v>
      </c>
      <c r="BF26" s="97">
        <f t="shared" si="9"/>
        <v>88</v>
      </c>
      <c r="BG26" s="177">
        <v>90</v>
      </c>
      <c r="BH26" s="188"/>
      <c r="BI26" s="96">
        <v>88</v>
      </c>
      <c r="BJ26" s="181">
        <v>100</v>
      </c>
      <c r="BK26" s="97">
        <f t="shared" si="10"/>
        <v>92.666666666666671</v>
      </c>
      <c r="BL26" s="186">
        <f t="shared" si="12"/>
        <v>823.33333333333326</v>
      </c>
      <c r="BM26" s="155">
        <f t="shared" si="13"/>
        <v>91.481481481481467</v>
      </c>
      <c r="BN26" s="96"/>
      <c r="BO26" s="96"/>
      <c r="BP26" s="97"/>
      <c r="BQ26" s="20">
        <v>0</v>
      </c>
      <c r="BR26" s="20">
        <v>1</v>
      </c>
      <c r="BS26" s="20">
        <v>0</v>
      </c>
    </row>
    <row r="27" spans="1:71" x14ac:dyDescent="0.25">
      <c r="A27" s="20">
        <v>13</v>
      </c>
      <c r="B27" s="111" t="s">
        <v>209</v>
      </c>
      <c r="C27" s="126" t="s">
        <v>210</v>
      </c>
      <c r="D27" s="96">
        <v>90</v>
      </c>
      <c r="E27" s="188"/>
      <c r="F27" s="96">
        <v>88</v>
      </c>
      <c r="G27" s="96">
        <v>100</v>
      </c>
      <c r="H27" s="176">
        <f t="shared" si="0"/>
        <v>92.666666666666671</v>
      </c>
      <c r="I27" s="96">
        <v>80</v>
      </c>
      <c r="J27" s="188"/>
      <c r="K27" s="96">
        <v>95</v>
      </c>
      <c r="L27" s="181">
        <v>100</v>
      </c>
      <c r="M27" s="97">
        <f t="shared" si="1"/>
        <v>91.666666666666671</v>
      </c>
      <c r="N27" s="177">
        <v>89</v>
      </c>
      <c r="O27" s="188"/>
      <c r="P27" s="96">
        <v>89</v>
      </c>
      <c r="Q27" s="181">
        <v>100</v>
      </c>
      <c r="R27" s="97">
        <f t="shared" si="2"/>
        <v>92.666666666666671</v>
      </c>
      <c r="S27" s="177"/>
      <c r="T27" s="96"/>
      <c r="U27" s="96"/>
      <c r="V27" s="96"/>
      <c r="W27" s="97">
        <f t="shared" si="3"/>
        <v>0</v>
      </c>
      <c r="X27" s="96"/>
      <c r="Y27" s="96"/>
      <c r="Z27" s="96"/>
      <c r="AA27" s="96"/>
      <c r="AB27" s="97">
        <f t="shared" si="4"/>
        <v>0</v>
      </c>
      <c r="AC27" s="96"/>
      <c r="AD27" s="96"/>
      <c r="AE27" s="96"/>
      <c r="AF27" s="96"/>
      <c r="AG27" s="97">
        <f t="shared" si="5"/>
        <v>0</v>
      </c>
      <c r="AH27" s="96">
        <v>90</v>
      </c>
      <c r="AI27" s="188"/>
      <c r="AJ27" s="96">
        <v>95</v>
      </c>
      <c r="AK27" s="181">
        <v>95</v>
      </c>
      <c r="AL27" s="97">
        <f t="shared" si="6"/>
        <v>93.333333333333329</v>
      </c>
      <c r="AM27" s="177">
        <v>90</v>
      </c>
      <c r="AN27" s="188"/>
      <c r="AO27" s="96">
        <v>92</v>
      </c>
      <c r="AP27" s="181">
        <v>100</v>
      </c>
      <c r="AQ27" s="97">
        <f t="shared" si="7"/>
        <v>94</v>
      </c>
      <c r="AR27" s="192">
        <v>95</v>
      </c>
      <c r="AS27" s="188"/>
      <c r="AT27" s="194">
        <v>95</v>
      </c>
      <c r="AU27" s="181">
        <v>100</v>
      </c>
      <c r="AV27" s="97">
        <f t="shared" si="11"/>
        <v>96.666666666666671</v>
      </c>
      <c r="AW27" s="177">
        <v>91</v>
      </c>
      <c r="AX27" s="188"/>
      <c r="AY27" s="96">
        <v>89</v>
      </c>
      <c r="AZ27" s="181">
        <v>97</v>
      </c>
      <c r="BA27" s="97">
        <f t="shared" si="8"/>
        <v>92.333333333333329</v>
      </c>
      <c r="BB27" s="177">
        <v>90</v>
      </c>
      <c r="BC27" s="188"/>
      <c r="BD27" s="96">
        <v>90</v>
      </c>
      <c r="BE27" s="181">
        <v>100</v>
      </c>
      <c r="BF27" s="97">
        <f t="shared" si="9"/>
        <v>93.333333333333329</v>
      </c>
      <c r="BG27" s="177">
        <v>90</v>
      </c>
      <c r="BH27" s="188"/>
      <c r="BI27" s="96">
        <v>88</v>
      </c>
      <c r="BJ27" s="181">
        <v>100</v>
      </c>
      <c r="BK27" s="97">
        <f t="shared" si="10"/>
        <v>92.666666666666671</v>
      </c>
      <c r="BL27" s="186">
        <f t="shared" si="12"/>
        <v>839.33333333333337</v>
      </c>
      <c r="BM27" s="155">
        <f t="shared" si="13"/>
        <v>93.259259259259267</v>
      </c>
      <c r="BN27" s="96"/>
      <c r="BO27" s="96"/>
      <c r="BP27" s="97"/>
      <c r="BQ27" s="20">
        <v>2</v>
      </c>
      <c r="BR27" s="20">
        <v>0</v>
      </c>
      <c r="BS27" s="20">
        <v>0</v>
      </c>
    </row>
    <row r="28" spans="1:71" x14ac:dyDescent="0.25">
      <c r="A28" s="20">
        <v>14</v>
      </c>
      <c r="B28" s="111" t="s">
        <v>211</v>
      </c>
      <c r="C28" s="126" t="s">
        <v>212</v>
      </c>
      <c r="D28" s="96">
        <v>88</v>
      </c>
      <c r="E28" s="188"/>
      <c r="F28" s="96">
        <v>86</v>
      </c>
      <c r="G28" s="96">
        <v>100</v>
      </c>
      <c r="H28" s="176">
        <f t="shared" si="0"/>
        <v>91.333333333333329</v>
      </c>
      <c r="I28" s="96">
        <v>68</v>
      </c>
      <c r="J28" s="188"/>
      <c r="K28" s="96">
        <v>90</v>
      </c>
      <c r="L28" s="181">
        <v>100</v>
      </c>
      <c r="M28" s="97">
        <f t="shared" si="1"/>
        <v>86</v>
      </c>
      <c r="N28" s="177">
        <v>85</v>
      </c>
      <c r="O28" s="188"/>
      <c r="P28" s="96">
        <v>89</v>
      </c>
      <c r="Q28" s="181">
        <v>100</v>
      </c>
      <c r="R28" s="97">
        <f t="shared" si="2"/>
        <v>91.333333333333329</v>
      </c>
      <c r="S28" s="177"/>
      <c r="T28" s="96"/>
      <c r="U28" s="96"/>
      <c r="V28" s="96"/>
      <c r="W28" s="97">
        <f t="shared" si="3"/>
        <v>0</v>
      </c>
      <c r="X28" s="96"/>
      <c r="Y28" s="96"/>
      <c r="Z28" s="96"/>
      <c r="AA28" s="96"/>
      <c r="AB28" s="97">
        <f t="shared" si="4"/>
        <v>0</v>
      </c>
      <c r="AC28" s="96"/>
      <c r="AD28" s="96"/>
      <c r="AE28" s="96"/>
      <c r="AF28" s="96"/>
      <c r="AG28" s="97">
        <f t="shared" si="5"/>
        <v>0</v>
      </c>
      <c r="AH28" s="96">
        <v>75</v>
      </c>
      <c r="AI28" s="188"/>
      <c r="AJ28" s="96">
        <v>85</v>
      </c>
      <c r="AK28" s="181">
        <v>80</v>
      </c>
      <c r="AL28" s="97">
        <f t="shared" si="6"/>
        <v>80</v>
      </c>
      <c r="AM28" s="177">
        <v>88</v>
      </c>
      <c r="AN28" s="188"/>
      <c r="AO28" s="96">
        <v>95</v>
      </c>
      <c r="AP28" s="181">
        <v>100</v>
      </c>
      <c r="AQ28" s="97">
        <f t="shared" si="7"/>
        <v>94.333333333333329</v>
      </c>
      <c r="AR28" s="192">
        <v>85</v>
      </c>
      <c r="AS28" s="188"/>
      <c r="AT28" s="194">
        <v>86.5</v>
      </c>
      <c r="AU28" s="181">
        <v>100</v>
      </c>
      <c r="AV28" s="97">
        <f t="shared" si="11"/>
        <v>90.5</v>
      </c>
      <c r="AW28" s="177">
        <v>90</v>
      </c>
      <c r="AX28" s="188"/>
      <c r="AY28" s="96">
        <v>88</v>
      </c>
      <c r="AZ28" s="181">
        <v>98</v>
      </c>
      <c r="BA28" s="97">
        <f t="shared" si="8"/>
        <v>92</v>
      </c>
      <c r="BB28" s="177">
        <v>82</v>
      </c>
      <c r="BC28" s="188"/>
      <c r="BD28" s="96">
        <v>82</v>
      </c>
      <c r="BE28" s="181">
        <v>100</v>
      </c>
      <c r="BF28" s="97">
        <f t="shared" si="9"/>
        <v>88</v>
      </c>
      <c r="BG28" s="177">
        <v>90</v>
      </c>
      <c r="BH28" s="188"/>
      <c r="BI28" s="96">
        <v>87</v>
      </c>
      <c r="BJ28" s="181">
        <v>100</v>
      </c>
      <c r="BK28" s="97">
        <f t="shared" si="10"/>
        <v>92.333333333333329</v>
      </c>
      <c r="BL28" s="186">
        <f t="shared" si="12"/>
        <v>805.83333333333337</v>
      </c>
      <c r="BM28" s="155">
        <f t="shared" si="13"/>
        <v>89.537037037037038</v>
      </c>
      <c r="BN28" s="96"/>
      <c r="BO28" s="96"/>
      <c r="BP28" s="97"/>
      <c r="BQ28" s="20">
        <v>0</v>
      </c>
      <c r="BR28" s="20">
        <v>0</v>
      </c>
      <c r="BS28" s="20">
        <v>0</v>
      </c>
    </row>
    <row r="29" spans="1:71" x14ac:dyDescent="0.25">
      <c r="A29" s="20">
        <v>15</v>
      </c>
      <c r="B29" s="111" t="s">
        <v>213</v>
      </c>
      <c r="C29" s="126" t="s">
        <v>214</v>
      </c>
      <c r="D29" s="96">
        <v>89</v>
      </c>
      <c r="E29" s="188"/>
      <c r="F29" s="96">
        <v>80</v>
      </c>
      <c r="G29" s="96">
        <v>100</v>
      </c>
      <c r="H29" s="97">
        <f t="shared" si="0"/>
        <v>89.666666666666671</v>
      </c>
      <c r="I29" s="96">
        <v>90</v>
      </c>
      <c r="J29" s="188"/>
      <c r="K29" s="96">
        <v>95</v>
      </c>
      <c r="L29" s="181">
        <v>100</v>
      </c>
      <c r="M29" s="97">
        <f t="shared" si="1"/>
        <v>95</v>
      </c>
      <c r="N29" s="177">
        <v>83</v>
      </c>
      <c r="O29" s="188"/>
      <c r="P29" s="96">
        <v>89</v>
      </c>
      <c r="Q29" s="181">
        <v>100</v>
      </c>
      <c r="R29" s="97">
        <f t="shared" si="2"/>
        <v>90.666666666666671</v>
      </c>
      <c r="S29" s="177"/>
      <c r="T29" s="96"/>
      <c r="U29" s="96"/>
      <c r="V29" s="96"/>
      <c r="W29" s="97">
        <f t="shared" si="3"/>
        <v>0</v>
      </c>
      <c r="X29" s="96"/>
      <c r="Y29" s="96"/>
      <c r="Z29" s="96"/>
      <c r="AA29" s="96"/>
      <c r="AB29" s="97">
        <f t="shared" si="4"/>
        <v>0</v>
      </c>
      <c r="AC29" s="96"/>
      <c r="AD29" s="96"/>
      <c r="AE29" s="96"/>
      <c r="AF29" s="96"/>
      <c r="AG29" s="97">
        <f t="shared" si="5"/>
        <v>0</v>
      </c>
      <c r="AH29" s="96">
        <v>87</v>
      </c>
      <c r="AI29" s="188"/>
      <c r="AJ29" s="96">
        <v>95</v>
      </c>
      <c r="AK29" s="181">
        <v>95</v>
      </c>
      <c r="AL29" s="97">
        <f t="shared" si="6"/>
        <v>92.333333333333329</v>
      </c>
      <c r="AM29" s="177">
        <v>88</v>
      </c>
      <c r="AN29" s="188"/>
      <c r="AO29" s="96">
        <v>95</v>
      </c>
      <c r="AP29" s="181">
        <v>100</v>
      </c>
      <c r="AQ29" s="97">
        <f t="shared" si="7"/>
        <v>94.333333333333329</v>
      </c>
      <c r="AR29" s="192">
        <v>94.5</v>
      </c>
      <c r="AS29" s="188"/>
      <c r="AT29" s="194">
        <v>92</v>
      </c>
      <c r="AU29" s="181">
        <v>100</v>
      </c>
      <c r="AV29" s="97">
        <f t="shared" si="11"/>
        <v>95.5</v>
      </c>
      <c r="AW29" s="177">
        <v>90</v>
      </c>
      <c r="AX29" s="188"/>
      <c r="AY29" s="96">
        <v>90</v>
      </c>
      <c r="AZ29" s="181">
        <v>96</v>
      </c>
      <c r="BA29" s="97">
        <f t="shared" si="8"/>
        <v>92</v>
      </c>
      <c r="BB29" s="177">
        <v>89</v>
      </c>
      <c r="BC29" s="188"/>
      <c r="BD29" s="96">
        <v>89</v>
      </c>
      <c r="BE29" s="181">
        <v>100</v>
      </c>
      <c r="BF29" s="97">
        <f t="shared" si="9"/>
        <v>92.666666666666671</v>
      </c>
      <c r="BG29" s="177">
        <v>90</v>
      </c>
      <c r="BH29" s="188"/>
      <c r="BI29" s="96">
        <v>89</v>
      </c>
      <c r="BJ29" s="181">
        <v>100</v>
      </c>
      <c r="BK29" s="97">
        <f t="shared" si="10"/>
        <v>93</v>
      </c>
      <c r="BL29" s="186">
        <f t="shared" si="12"/>
        <v>835.16666666666663</v>
      </c>
      <c r="BM29" s="155">
        <f t="shared" si="13"/>
        <v>92.796296296296291</v>
      </c>
      <c r="BN29" s="96"/>
      <c r="BO29" s="96"/>
      <c r="BP29" s="97"/>
      <c r="BQ29" s="20">
        <v>3</v>
      </c>
      <c r="BR29" s="20">
        <v>0</v>
      </c>
      <c r="BS29" s="20">
        <v>0</v>
      </c>
    </row>
    <row r="30" spans="1:71" x14ac:dyDescent="0.25">
      <c r="A30" s="20">
        <v>16</v>
      </c>
      <c r="B30" s="111" t="s">
        <v>215</v>
      </c>
      <c r="C30" s="126" t="s">
        <v>216</v>
      </c>
      <c r="D30" s="96">
        <v>87</v>
      </c>
      <c r="E30" s="188"/>
      <c r="F30" s="96">
        <v>82</v>
      </c>
      <c r="G30" s="96">
        <v>100</v>
      </c>
      <c r="H30" s="97">
        <f t="shared" si="0"/>
        <v>89.666666666666671</v>
      </c>
      <c r="I30" s="96">
        <v>75</v>
      </c>
      <c r="J30" s="188"/>
      <c r="K30" s="96">
        <v>90</v>
      </c>
      <c r="L30" s="181">
        <v>100</v>
      </c>
      <c r="M30" s="97">
        <f t="shared" si="1"/>
        <v>88.333333333333329</v>
      </c>
      <c r="N30" s="177">
        <v>85</v>
      </c>
      <c r="O30" s="188"/>
      <c r="P30" s="96">
        <v>89</v>
      </c>
      <c r="Q30" s="181">
        <v>100</v>
      </c>
      <c r="R30" s="97">
        <f t="shared" si="2"/>
        <v>91.333333333333329</v>
      </c>
      <c r="S30" s="177"/>
      <c r="T30" s="96"/>
      <c r="U30" s="96"/>
      <c r="V30" s="96"/>
      <c r="W30" s="97">
        <f t="shared" si="3"/>
        <v>0</v>
      </c>
      <c r="X30" s="96"/>
      <c r="Y30" s="96"/>
      <c r="Z30" s="96"/>
      <c r="AA30" s="96"/>
      <c r="AB30" s="97">
        <f t="shared" si="4"/>
        <v>0</v>
      </c>
      <c r="AC30" s="96"/>
      <c r="AD30" s="96"/>
      <c r="AE30" s="96"/>
      <c r="AF30" s="96"/>
      <c r="AG30" s="97">
        <f t="shared" si="5"/>
        <v>0</v>
      </c>
      <c r="AH30" s="96">
        <v>90</v>
      </c>
      <c r="AI30" s="188"/>
      <c r="AJ30" s="96">
        <v>95</v>
      </c>
      <c r="AK30" s="181">
        <v>100</v>
      </c>
      <c r="AL30" s="97">
        <f t="shared" si="6"/>
        <v>95</v>
      </c>
      <c r="AM30" s="177">
        <v>88</v>
      </c>
      <c r="AN30" s="188"/>
      <c r="AO30" s="96">
        <v>93</v>
      </c>
      <c r="AP30" s="181">
        <v>100</v>
      </c>
      <c r="AQ30" s="97">
        <f t="shared" si="7"/>
        <v>93.666666666666671</v>
      </c>
      <c r="AR30" s="192">
        <v>93</v>
      </c>
      <c r="AS30" s="188"/>
      <c r="AT30" s="194">
        <v>90</v>
      </c>
      <c r="AU30" s="181">
        <v>100</v>
      </c>
      <c r="AV30" s="97">
        <f t="shared" si="11"/>
        <v>94.333333333333329</v>
      </c>
      <c r="AW30" s="177">
        <v>91</v>
      </c>
      <c r="AX30" s="188"/>
      <c r="AY30" s="96">
        <v>91</v>
      </c>
      <c r="AZ30" s="181">
        <v>95</v>
      </c>
      <c r="BA30" s="97">
        <f t="shared" si="8"/>
        <v>92.333333333333329</v>
      </c>
      <c r="BB30" s="177">
        <v>87</v>
      </c>
      <c r="BC30" s="188"/>
      <c r="BD30" s="96">
        <v>85</v>
      </c>
      <c r="BE30" s="181">
        <v>100</v>
      </c>
      <c r="BF30" s="97">
        <f t="shared" si="9"/>
        <v>90.666666666666671</v>
      </c>
      <c r="BG30" s="177">
        <v>90</v>
      </c>
      <c r="BH30" s="188"/>
      <c r="BI30" s="96">
        <v>93</v>
      </c>
      <c r="BJ30" s="181">
        <v>100</v>
      </c>
      <c r="BK30" s="97">
        <f t="shared" si="10"/>
        <v>94.333333333333329</v>
      </c>
      <c r="BL30" s="186">
        <f t="shared" si="12"/>
        <v>829.66666666666674</v>
      </c>
      <c r="BM30" s="155">
        <f t="shared" si="13"/>
        <v>92.18518518518519</v>
      </c>
      <c r="BN30" s="96"/>
      <c r="BO30" s="96"/>
      <c r="BP30" s="97"/>
      <c r="BQ30" s="20">
        <v>0</v>
      </c>
      <c r="BR30" s="20">
        <v>0</v>
      </c>
      <c r="BS30" s="20">
        <v>2</v>
      </c>
    </row>
    <row r="31" spans="1:71" x14ac:dyDescent="0.25">
      <c r="A31" s="21">
        <v>17</v>
      </c>
      <c r="B31" s="111" t="s">
        <v>217</v>
      </c>
      <c r="C31" s="126" t="s">
        <v>218</v>
      </c>
      <c r="D31" s="96">
        <v>90</v>
      </c>
      <c r="E31" s="188"/>
      <c r="F31" s="96">
        <v>92</v>
      </c>
      <c r="G31" s="96">
        <v>100</v>
      </c>
      <c r="H31" s="175">
        <f t="shared" si="0"/>
        <v>94</v>
      </c>
      <c r="I31" s="96">
        <v>90</v>
      </c>
      <c r="J31" s="188"/>
      <c r="K31" s="96">
        <v>95</v>
      </c>
      <c r="L31" s="181">
        <v>100</v>
      </c>
      <c r="M31" s="97">
        <f t="shared" si="1"/>
        <v>95</v>
      </c>
      <c r="N31" s="177">
        <v>85</v>
      </c>
      <c r="O31" s="188"/>
      <c r="P31" s="96">
        <v>89</v>
      </c>
      <c r="Q31" s="181">
        <v>100</v>
      </c>
      <c r="R31" s="97">
        <f t="shared" si="2"/>
        <v>91.333333333333329</v>
      </c>
      <c r="S31" s="177"/>
      <c r="T31" s="96"/>
      <c r="U31" s="96"/>
      <c r="V31" s="96"/>
      <c r="W31" s="97">
        <f t="shared" si="3"/>
        <v>0</v>
      </c>
      <c r="X31" s="96"/>
      <c r="Y31" s="96"/>
      <c r="Z31" s="96"/>
      <c r="AA31" s="96"/>
      <c r="AB31" s="97">
        <f t="shared" si="4"/>
        <v>0</v>
      </c>
      <c r="AC31" s="96"/>
      <c r="AD31" s="96"/>
      <c r="AE31" s="96"/>
      <c r="AF31" s="96"/>
      <c r="AG31" s="97">
        <f t="shared" si="5"/>
        <v>0</v>
      </c>
      <c r="AH31" s="96">
        <v>90</v>
      </c>
      <c r="AI31" s="188"/>
      <c r="AJ31" s="96">
        <v>95</v>
      </c>
      <c r="AK31" s="181">
        <v>95</v>
      </c>
      <c r="AL31" s="97">
        <f t="shared" si="6"/>
        <v>93.333333333333329</v>
      </c>
      <c r="AM31" s="177">
        <v>90</v>
      </c>
      <c r="AN31" s="188"/>
      <c r="AO31" s="96">
        <v>95</v>
      </c>
      <c r="AP31" s="181">
        <v>100</v>
      </c>
      <c r="AQ31" s="97">
        <f t="shared" si="7"/>
        <v>95</v>
      </c>
      <c r="AR31" s="192">
        <v>95</v>
      </c>
      <c r="AS31" s="188"/>
      <c r="AT31" s="194">
        <v>95</v>
      </c>
      <c r="AU31" s="181">
        <v>100</v>
      </c>
      <c r="AV31" s="97">
        <f t="shared" si="11"/>
        <v>96.666666666666671</v>
      </c>
      <c r="AW31" s="177">
        <v>90</v>
      </c>
      <c r="AX31" s="188"/>
      <c r="AY31" s="96">
        <v>89</v>
      </c>
      <c r="AZ31" s="181">
        <v>98</v>
      </c>
      <c r="BA31" s="97">
        <f t="shared" si="8"/>
        <v>92.333333333333329</v>
      </c>
      <c r="BB31" s="177">
        <v>90</v>
      </c>
      <c r="BC31" s="188"/>
      <c r="BD31" s="96">
        <v>89</v>
      </c>
      <c r="BE31" s="181">
        <v>100</v>
      </c>
      <c r="BF31" s="97">
        <f t="shared" si="9"/>
        <v>93</v>
      </c>
      <c r="BG31" s="177">
        <v>90</v>
      </c>
      <c r="BH31" s="188"/>
      <c r="BI31" s="96">
        <v>89</v>
      </c>
      <c r="BJ31" s="181">
        <v>100</v>
      </c>
      <c r="BK31" s="97">
        <f t="shared" si="10"/>
        <v>93</v>
      </c>
      <c r="BL31" s="186">
        <f t="shared" si="12"/>
        <v>843.66666666666663</v>
      </c>
      <c r="BM31" s="155">
        <f t="shared" si="13"/>
        <v>93.740740740740733</v>
      </c>
      <c r="BN31" s="96"/>
      <c r="BO31" s="96"/>
      <c r="BP31" s="97"/>
      <c r="BQ31" s="20">
        <v>0</v>
      </c>
      <c r="BR31" s="20">
        <v>0</v>
      </c>
      <c r="BS31" s="20">
        <v>0</v>
      </c>
    </row>
    <row r="32" spans="1:71" x14ac:dyDescent="0.25">
      <c r="A32" s="20">
        <v>18</v>
      </c>
      <c r="B32" s="111" t="s">
        <v>219</v>
      </c>
      <c r="C32" s="126" t="s">
        <v>220</v>
      </c>
      <c r="D32" s="96">
        <v>85</v>
      </c>
      <c r="E32" s="188"/>
      <c r="F32" s="96">
        <v>78</v>
      </c>
      <c r="G32" s="96">
        <v>94</v>
      </c>
      <c r="H32" s="176">
        <f t="shared" si="0"/>
        <v>85.666666666666671</v>
      </c>
      <c r="I32" s="96">
        <v>89</v>
      </c>
      <c r="J32" s="188"/>
      <c r="K32" s="96">
        <v>89</v>
      </c>
      <c r="L32" s="181">
        <v>100</v>
      </c>
      <c r="M32" s="97">
        <f t="shared" si="1"/>
        <v>92.666666666666671</v>
      </c>
      <c r="N32" s="177">
        <v>84</v>
      </c>
      <c r="O32" s="188"/>
      <c r="P32" s="96">
        <v>89</v>
      </c>
      <c r="Q32" s="181">
        <v>100</v>
      </c>
      <c r="R32" s="97">
        <f t="shared" si="2"/>
        <v>91</v>
      </c>
      <c r="S32" s="177"/>
      <c r="T32" s="96"/>
      <c r="U32" s="96"/>
      <c r="V32" s="96"/>
      <c r="W32" s="97">
        <f t="shared" si="3"/>
        <v>0</v>
      </c>
      <c r="X32" s="96"/>
      <c r="Y32" s="96"/>
      <c r="Z32" s="96"/>
      <c r="AA32" s="96"/>
      <c r="AB32" s="97">
        <f t="shared" si="4"/>
        <v>0</v>
      </c>
      <c r="AC32" s="96"/>
      <c r="AD32" s="96"/>
      <c r="AE32" s="96"/>
      <c r="AF32" s="96"/>
      <c r="AG32" s="97">
        <f t="shared" si="5"/>
        <v>0</v>
      </c>
      <c r="AH32" s="96">
        <v>88</v>
      </c>
      <c r="AI32" s="188"/>
      <c r="AJ32" s="96">
        <v>95</v>
      </c>
      <c r="AK32" s="181">
        <v>95</v>
      </c>
      <c r="AL32" s="97">
        <f t="shared" si="6"/>
        <v>92.666666666666671</v>
      </c>
      <c r="AM32" s="177">
        <v>88</v>
      </c>
      <c r="AN32" s="188"/>
      <c r="AO32" s="96">
        <v>90</v>
      </c>
      <c r="AP32" s="181">
        <v>100</v>
      </c>
      <c r="AQ32" s="97">
        <f t="shared" si="7"/>
        <v>92.666666666666671</v>
      </c>
      <c r="AR32" s="192">
        <v>90.5</v>
      </c>
      <c r="AS32" s="188"/>
      <c r="AT32" s="194">
        <v>81</v>
      </c>
      <c r="AU32" s="181">
        <v>100</v>
      </c>
      <c r="AV32" s="97">
        <f t="shared" si="11"/>
        <v>90.5</v>
      </c>
      <c r="AW32" s="177">
        <v>90</v>
      </c>
      <c r="AX32" s="188"/>
      <c r="AY32" s="96">
        <v>88</v>
      </c>
      <c r="AZ32" s="181">
        <v>97</v>
      </c>
      <c r="BA32" s="97">
        <f t="shared" si="8"/>
        <v>91.666666666666671</v>
      </c>
      <c r="BB32" s="177">
        <v>82</v>
      </c>
      <c r="BC32" s="188"/>
      <c r="BD32" s="96">
        <v>82</v>
      </c>
      <c r="BE32" s="181">
        <v>100</v>
      </c>
      <c r="BF32" s="97">
        <f t="shared" si="9"/>
        <v>88</v>
      </c>
      <c r="BG32" s="177">
        <v>90</v>
      </c>
      <c r="BH32" s="188"/>
      <c r="BI32" s="96">
        <v>93</v>
      </c>
      <c r="BJ32" s="181">
        <v>100</v>
      </c>
      <c r="BK32" s="97">
        <f t="shared" si="10"/>
        <v>94.333333333333329</v>
      </c>
      <c r="BL32" s="186">
        <f t="shared" si="12"/>
        <v>819.16666666666674</v>
      </c>
      <c r="BM32" s="155">
        <f t="shared" si="13"/>
        <v>91.018518518518533</v>
      </c>
      <c r="BN32" s="96"/>
      <c r="BO32" s="96"/>
      <c r="BP32" s="97"/>
      <c r="BQ32" s="20">
        <v>2</v>
      </c>
      <c r="BR32" s="20">
        <v>0</v>
      </c>
      <c r="BS32" s="20">
        <v>0</v>
      </c>
    </row>
    <row r="33" spans="1:71" x14ac:dyDescent="0.25">
      <c r="A33" s="20">
        <v>19</v>
      </c>
      <c r="B33" s="111" t="s">
        <v>221</v>
      </c>
      <c r="C33" s="126" t="s">
        <v>222</v>
      </c>
      <c r="D33" s="96">
        <v>86</v>
      </c>
      <c r="E33" s="188"/>
      <c r="F33" s="96">
        <v>80</v>
      </c>
      <c r="G33" s="96">
        <v>100</v>
      </c>
      <c r="H33" s="97">
        <f t="shared" si="0"/>
        <v>88.666666666666671</v>
      </c>
      <c r="I33" s="96">
        <v>68</v>
      </c>
      <c r="J33" s="188"/>
      <c r="K33" s="96">
        <v>95</v>
      </c>
      <c r="L33" s="181">
        <v>100</v>
      </c>
      <c r="M33" s="97">
        <f t="shared" si="1"/>
        <v>87.666666666666671</v>
      </c>
      <c r="N33" s="177">
        <v>89</v>
      </c>
      <c r="O33" s="188"/>
      <c r="P33" s="96">
        <v>89</v>
      </c>
      <c r="Q33" s="181">
        <v>100</v>
      </c>
      <c r="R33" s="97">
        <f t="shared" si="2"/>
        <v>92.666666666666671</v>
      </c>
      <c r="S33" s="177"/>
      <c r="T33" s="96"/>
      <c r="U33" s="96"/>
      <c r="V33" s="96"/>
      <c r="W33" s="97">
        <f t="shared" si="3"/>
        <v>0</v>
      </c>
      <c r="X33" s="96"/>
      <c r="Y33" s="96"/>
      <c r="Z33" s="96"/>
      <c r="AA33" s="96"/>
      <c r="AB33" s="97">
        <f t="shared" si="4"/>
        <v>0</v>
      </c>
      <c r="AC33" s="96"/>
      <c r="AD33" s="96"/>
      <c r="AE33" s="96"/>
      <c r="AF33" s="96"/>
      <c r="AG33" s="97">
        <f t="shared" si="5"/>
        <v>0</v>
      </c>
      <c r="AH33" s="96">
        <v>75</v>
      </c>
      <c r="AI33" s="188"/>
      <c r="AJ33" s="96">
        <v>95</v>
      </c>
      <c r="AK33" s="181">
        <v>80</v>
      </c>
      <c r="AL33" s="97">
        <f t="shared" si="6"/>
        <v>83.333333333333329</v>
      </c>
      <c r="AM33" s="177">
        <v>88</v>
      </c>
      <c r="AN33" s="188"/>
      <c r="AO33" s="96">
        <v>90</v>
      </c>
      <c r="AP33" s="181">
        <v>100</v>
      </c>
      <c r="AQ33" s="97">
        <f t="shared" si="7"/>
        <v>92.666666666666671</v>
      </c>
      <c r="AR33" s="192">
        <v>90.5</v>
      </c>
      <c r="AS33" s="188"/>
      <c r="AT33" s="194">
        <v>90.5</v>
      </c>
      <c r="AU33" s="181">
        <v>100</v>
      </c>
      <c r="AV33" s="97">
        <f t="shared" si="11"/>
        <v>93.666666666666671</v>
      </c>
      <c r="AW33" s="177">
        <v>90</v>
      </c>
      <c r="AX33" s="188"/>
      <c r="AY33" s="96">
        <v>90</v>
      </c>
      <c r="AZ33" s="181">
        <v>96</v>
      </c>
      <c r="BA33" s="97">
        <f t="shared" si="8"/>
        <v>92</v>
      </c>
      <c r="BB33" s="177">
        <v>89</v>
      </c>
      <c r="BC33" s="188"/>
      <c r="BD33" s="96">
        <v>87</v>
      </c>
      <c r="BE33" s="181">
        <v>100</v>
      </c>
      <c r="BF33" s="97">
        <f t="shared" si="9"/>
        <v>92</v>
      </c>
      <c r="BG33" s="177">
        <v>90</v>
      </c>
      <c r="BH33" s="188"/>
      <c r="BI33" s="96">
        <v>92</v>
      </c>
      <c r="BJ33" s="181">
        <v>100</v>
      </c>
      <c r="BK33" s="97">
        <f t="shared" si="10"/>
        <v>94</v>
      </c>
      <c r="BL33" s="186">
        <f t="shared" si="12"/>
        <v>816.66666666666663</v>
      </c>
      <c r="BM33" s="155">
        <f t="shared" si="13"/>
        <v>90.740740740740733</v>
      </c>
      <c r="BN33" s="96"/>
      <c r="BO33" s="96"/>
      <c r="BP33" s="97"/>
      <c r="BQ33" s="20">
        <v>0</v>
      </c>
      <c r="BR33" s="20">
        <v>0</v>
      </c>
      <c r="BS33" s="20">
        <v>0</v>
      </c>
    </row>
    <row r="34" spans="1:71" x14ac:dyDescent="0.25">
      <c r="A34" s="20">
        <v>20</v>
      </c>
      <c r="B34" s="111" t="s">
        <v>223</v>
      </c>
      <c r="C34" s="126" t="s">
        <v>224</v>
      </c>
      <c r="D34" s="96">
        <v>86</v>
      </c>
      <c r="E34" s="188"/>
      <c r="F34" s="96">
        <v>90</v>
      </c>
      <c r="G34" s="96">
        <v>100</v>
      </c>
      <c r="H34" s="175">
        <f t="shared" si="0"/>
        <v>92</v>
      </c>
      <c r="I34" s="96">
        <v>68</v>
      </c>
      <c r="J34" s="188"/>
      <c r="K34" s="96">
        <v>95</v>
      </c>
      <c r="L34" s="181">
        <v>100</v>
      </c>
      <c r="M34" s="97">
        <f t="shared" si="1"/>
        <v>87.666666666666671</v>
      </c>
      <c r="N34" s="177">
        <v>84</v>
      </c>
      <c r="O34" s="188"/>
      <c r="P34" s="96">
        <v>89</v>
      </c>
      <c r="Q34" s="181">
        <v>100</v>
      </c>
      <c r="R34" s="97">
        <f t="shared" si="2"/>
        <v>91</v>
      </c>
      <c r="S34" s="177"/>
      <c r="T34" s="96"/>
      <c r="U34" s="96"/>
      <c r="V34" s="96"/>
      <c r="W34" s="97">
        <f t="shared" si="3"/>
        <v>0</v>
      </c>
      <c r="X34" s="96"/>
      <c r="Y34" s="96"/>
      <c r="Z34" s="96"/>
      <c r="AA34" s="96"/>
      <c r="AB34" s="97">
        <f t="shared" si="4"/>
        <v>0</v>
      </c>
      <c r="AC34" s="96"/>
      <c r="AD34" s="96"/>
      <c r="AE34" s="96"/>
      <c r="AF34" s="96"/>
      <c r="AG34" s="97">
        <f t="shared" si="5"/>
        <v>0</v>
      </c>
      <c r="AH34" s="96">
        <v>75</v>
      </c>
      <c r="AI34" s="188"/>
      <c r="AJ34" s="96">
        <v>95</v>
      </c>
      <c r="AK34" s="181">
        <v>80</v>
      </c>
      <c r="AL34" s="97">
        <f t="shared" si="6"/>
        <v>83.333333333333329</v>
      </c>
      <c r="AM34" s="177">
        <v>88</v>
      </c>
      <c r="AN34" s="188"/>
      <c r="AO34" s="96">
        <v>90</v>
      </c>
      <c r="AP34" s="181">
        <v>100</v>
      </c>
      <c r="AQ34" s="97">
        <f t="shared" si="7"/>
        <v>92.666666666666671</v>
      </c>
      <c r="AR34" s="192">
        <v>89</v>
      </c>
      <c r="AS34" s="188"/>
      <c r="AT34" s="194">
        <v>87</v>
      </c>
      <c r="AU34" s="181">
        <v>100</v>
      </c>
      <c r="AV34" s="97">
        <f t="shared" si="11"/>
        <v>92</v>
      </c>
      <c r="AW34" s="177">
        <v>91</v>
      </c>
      <c r="AX34" s="188"/>
      <c r="AY34" s="96">
        <v>89</v>
      </c>
      <c r="AZ34" s="181">
        <v>97</v>
      </c>
      <c r="BA34" s="97">
        <f t="shared" si="8"/>
        <v>92.333333333333329</v>
      </c>
      <c r="BB34" s="177">
        <v>89</v>
      </c>
      <c r="BC34" s="188"/>
      <c r="BD34" s="96">
        <v>85</v>
      </c>
      <c r="BE34" s="181">
        <v>100</v>
      </c>
      <c r="BF34" s="97">
        <f t="shared" si="9"/>
        <v>91.333333333333329</v>
      </c>
      <c r="BG34" s="177">
        <v>90</v>
      </c>
      <c r="BH34" s="188"/>
      <c r="BI34" s="96">
        <v>89</v>
      </c>
      <c r="BJ34" s="181">
        <v>100</v>
      </c>
      <c r="BK34" s="97">
        <f t="shared" si="10"/>
        <v>93</v>
      </c>
      <c r="BL34" s="186">
        <f t="shared" si="12"/>
        <v>815.33333333333348</v>
      </c>
      <c r="BM34" s="155">
        <f t="shared" si="13"/>
        <v>90.592592592592609</v>
      </c>
      <c r="BN34" s="96"/>
      <c r="BO34" s="96"/>
      <c r="BP34" s="97"/>
      <c r="BQ34" s="20">
        <v>0</v>
      </c>
      <c r="BR34" s="20">
        <v>0</v>
      </c>
      <c r="BS34" s="20">
        <v>0</v>
      </c>
    </row>
    <row r="35" spans="1:71" x14ac:dyDescent="0.25">
      <c r="A35" s="20">
        <v>21</v>
      </c>
      <c r="B35" s="111" t="s">
        <v>225</v>
      </c>
      <c r="C35" s="171" t="s">
        <v>226</v>
      </c>
      <c r="D35" s="96">
        <v>85</v>
      </c>
      <c r="E35" s="188"/>
      <c r="F35" s="96">
        <v>78</v>
      </c>
      <c r="G35" s="96">
        <v>94</v>
      </c>
      <c r="H35" s="97">
        <f t="shared" si="0"/>
        <v>85.666666666666671</v>
      </c>
      <c r="I35" s="96">
        <v>89</v>
      </c>
      <c r="J35" s="188"/>
      <c r="K35" s="96">
        <v>90</v>
      </c>
      <c r="L35" s="181">
        <v>100</v>
      </c>
      <c r="M35" s="97">
        <f t="shared" si="1"/>
        <v>93</v>
      </c>
      <c r="N35" s="177">
        <v>85</v>
      </c>
      <c r="O35" s="188"/>
      <c r="P35" s="96">
        <v>89</v>
      </c>
      <c r="Q35" s="181">
        <v>100</v>
      </c>
      <c r="R35" s="97">
        <f t="shared" si="2"/>
        <v>91.333333333333329</v>
      </c>
      <c r="S35" s="177"/>
      <c r="T35" s="96"/>
      <c r="U35" s="96"/>
      <c r="V35" s="96"/>
      <c r="W35" s="97">
        <f t="shared" si="3"/>
        <v>0</v>
      </c>
      <c r="X35" s="96"/>
      <c r="Y35" s="96"/>
      <c r="Z35" s="96"/>
      <c r="AA35" s="96"/>
      <c r="AB35" s="97">
        <f t="shared" si="4"/>
        <v>0</v>
      </c>
      <c r="AC35" s="96"/>
      <c r="AD35" s="96"/>
      <c r="AE35" s="96"/>
      <c r="AF35" s="96"/>
      <c r="AG35" s="97">
        <f t="shared" si="5"/>
        <v>0</v>
      </c>
      <c r="AH35" s="96">
        <v>80</v>
      </c>
      <c r="AI35" s="188"/>
      <c r="AJ35" s="96">
        <v>95</v>
      </c>
      <c r="AK35" s="181">
        <v>95</v>
      </c>
      <c r="AL35" s="97">
        <f t="shared" si="6"/>
        <v>90</v>
      </c>
      <c r="AM35" s="177">
        <v>88</v>
      </c>
      <c r="AN35" s="188"/>
      <c r="AO35" s="96">
        <v>90</v>
      </c>
      <c r="AP35" s="181">
        <v>100</v>
      </c>
      <c r="AQ35" s="97">
        <f t="shared" si="7"/>
        <v>92.666666666666671</v>
      </c>
      <c r="AR35" s="192">
        <v>91</v>
      </c>
      <c r="AS35" s="188"/>
      <c r="AT35" s="194">
        <v>83.5</v>
      </c>
      <c r="AU35" s="181">
        <v>100</v>
      </c>
      <c r="AV35" s="97">
        <f t="shared" si="11"/>
        <v>91.5</v>
      </c>
      <c r="AW35" s="177">
        <v>90</v>
      </c>
      <c r="AX35" s="188"/>
      <c r="AY35" s="96">
        <v>90</v>
      </c>
      <c r="AZ35" s="181">
        <v>98</v>
      </c>
      <c r="BA35" s="97">
        <f t="shared" si="8"/>
        <v>92.666666666666671</v>
      </c>
      <c r="BB35" s="177">
        <v>82</v>
      </c>
      <c r="BC35" s="188"/>
      <c r="BD35" s="96">
        <v>82</v>
      </c>
      <c r="BE35" s="181">
        <v>100</v>
      </c>
      <c r="BF35" s="97">
        <f t="shared" si="9"/>
        <v>88</v>
      </c>
      <c r="BG35" s="177">
        <v>90</v>
      </c>
      <c r="BH35" s="188"/>
      <c r="BI35" s="96">
        <v>88</v>
      </c>
      <c r="BJ35" s="181">
        <v>100</v>
      </c>
      <c r="BK35" s="97">
        <f t="shared" si="10"/>
        <v>92.666666666666671</v>
      </c>
      <c r="BL35" s="186">
        <f t="shared" si="12"/>
        <v>817.5</v>
      </c>
      <c r="BM35" s="155">
        <f t="shared" si="13"/>
        <v>90.833333333333329</v>
      </c>
      <c r="BN35" s="96"/>
      <c r="BO35" s="96"/>
      <c r="BP35" s="97"/>
      <c r="BQ35" s="20">
        <v>2</v>
      </c>
      <c r="BR35" s="20">
        <v>2</v>
      </c>
      <c r="BS35" s="20">
        <v>0</v>
      </c>
    </row>
    <row r="36" spans="1:71" x14ac:dyDescent="0.25">
      <c r="A36" s="20">
        <v>22</v>
      </c>
      <c r="B36" s="111" t="s">
        <v>227</v>
      </c>
      <c r="C36" s="126" t="s">
        <v>228</v>
      </c>
      <c r="D36" s="96">
        <v>85</v>
      </c>
      <c r="E36" s="188"/>
      <c r="F36" s="96">
        <v>78</v>
      </c>
      <c r="G36" s="96">
        <v>94</v>
      </c>
      <c r="H36" s="97">
        <f t="shared" si="0"/>
        <v>85.666666666666671</v>
      </c>
      <c r="I36" s="96">
        <v>75</v>
      </c>
      <c r="J36" s="188"/>
      <c r="K36" s="96">
        <v>90</v>
      </c>
      <c r="L36" s="181">
        <v>100</v>
      </c>
      <c r="M36" s="97">
        <f t="shared" si="1"/>
        <v>88.333333333333329</v>
      </c>
      <c r="N36" s="177">
        <v>87</v>
      </c>
      <c r="O36" s="188"/>
      <c r="P36" s="96">
        <v>89</v>
      </c>
      <c r="Q36" s="181">
        <v>100</v>
      </c>
      <c r="R36" s="97">
        <f t="shared" si="2"/>
        <v>92</v>
      </c>
      <c r="S36" s="177"/>
      <c r="T36" s="96"/>
      <c r="U36" s="96"/>
      <c r="V36" s="96"/>
      <c r="W36" s="97">
        <f t="shared" si="3"/>
        <v>0</v>
      </c>
      <c r="X36" s="96"/>
      <c r="Y36" s="96"/>
      <c r="Z36" s="96"/>
      <c r="AA36" s="96"/>
      <c r="AB36" s="97">
        <f t="shared" si="4"/>
        <v>0</v>
      </c>
      <c r="AC36" s="96"/>
      <c r="AD36" s="96"/>
      <c r="AE36" s="96"/>
      <c r="AF36" s="96"/>
      <c r="AG36" s="97">
        <f t="shared" si="5"/>
        <v>0</v>
      </c>
      <c r="AH36" s="96">
        <v>83</v>
      </c>
      <c r="AI36" s="188"/>
      <c r="AJ36" s="96">
        <v>85</v>
      </c>
      <c r="AK36" s="181">
        <v>85</v>
      </c>
      <c r="AL36" s="97">
        <f t="shared" si="6"/>
        <v>84.333333333333329</v>
      </c>
      <c r="AM36" s="177">
        <v>88</v>
      </c>
      <c r="AN36" s="188"/>
      <c r="AO36" s="96">
        <v>92</v>
      </c>
      <c r="AP36" s="181">
        <v>100</v>
      </c>
      <c r="AQ36" s="97">
        <f t="shared" si="7"/>
        <v>93.333333333333329</v>
      </c>
      <c r="AR36" s="192">
        <v>88</v>
      </c>
      <c r="AS36" s="188"/>
      <c r="AT36" s="194">
        <v>87.5</v>
      </c>
      <c r="AU36" s="181">
        <v>100</v>
      </c>
      <c r="AV36" s="97">
        <f t="shared" si="11"/>
        <v>91.833333333333329</v>
      </c>
      <c r="AW36" s="177">
        <v>90</v>
      </c>
      <c r="AX36" s="188"/>
      <c r="AY36" s="96">
        <v>90</v>
      </c>
      <c r="AZ36" s="181">
        <v>96</v>
      </c>
      <c r="BA36" s="97">
        <f t="shared" si="8"/>
        <v>92</v>
      </c>
      <c r="BB36" s="177">
        <v>82</v>
      </c>
      <c r="BC36" s="188"/>
      <c r="BD36" s="96">
        <v>82</v>
      </c>
      <c r="BE36" s="181">
        <v>100</v>
      </c>
      <c r="BF36" s="97">
        <f t="shared" si="9"/>
        <v>88</v>
      </c>
      <c r="BG36" s="177">
        <v>90</v>
      </c>
      <c r="BH36" s="188"/>
      <c r="BI36" s="96">
        <v>89</v>
      </c>
      <c r="BJ36" s="181">
        <v>100</v>
      </c>
      <c r="BK36" s="97">
        <f t="shared" si="10"/>
        <v>93</v>
      </c>
      <c r="BL36" s="186">
        <f t="shared" si="12"/>
        <v>808.5</v>
      </c>
      <c r="BM36" s="155">
        <f t="shared" si="13"/>
        <v>89.833333333333329</v>
      </c>
      <c r="BN36" s="96"/>
      <c r="BO36" s="96"/>
      <c r="BP36" s="97"/>
      <c r="BQ36" s="20">
        <v>3</v>
      </c>
      <c r="BR36" s="20">
        <v>0</v>
      </c>
      <c r="BS36" s="20">
        <v>0</v>
      </c>
    </row>
    <row r="37" spans="1:71" x14ac:dyDescent="0.25">
      <c r="A37" s="20">
        <v>23</v>
      </c>
      <c r="B37" s="111" t="s">
        <v>229</v>
      </c>
      <c r="C37" s="126" t="s">
        <v>230</v>
      </c>
      <c r="D37" s="96">
        <v>85</v>
      </c>
      <c r="E37" s="188"/>
      <c r="F37" s="96">
        <v>78</v>
      </c>
      <c r="G37" s="96">
        <v>100</v>
      </c>
      <c r="H37" s="178">
        <f t="shared" si="0"/>
        <v>87.666666666666671</v>
      </c>
      <c r="I37" s="177">
        <v>85</v>
      </c>
      <c r="J37" s="188"/>
      <c r="K37" s="96">
        <v>90</v>
      </c>
      <c r="L37" s="181">
        <v>100</v>
      </c>
      <c r="M37" s="97">
        <f t="shared" si="1"/>
        <v>91.666666666666671</v>
      </c>
      <c r="N37" s="177">
        <v>86</v>
      </c>
      <c r="O37" s="188"/>
      <c r="P37" s="96">
        <v>89</v>
      </c>
      <c r="Q37" s="181">
        <v>100</v>
      </c>
      <c r="R37" s="97">
        <f t="shared" si="2"/>
        <v>91.666666666666671</v>
      </c>
      <c r="S37" s="177"/>
      <c r="T37" s="96"/>
      <c r="U37" s="96"/>
      <c r="V37" s="96"/>
      <c r="W37" s="97">
        <f t="shared" si="3"/>
        <v>0</v>
      </c>
      <c r="X37" s="96"/>
      <c r="Y37" s="96"/>
      <c r="Z37" s="96"/>
      <c r="AA37" s="96"/>
      <c r="AB37" s="97">
        <f t="shared" si="4"/>
        <v>0</v>
      </c>
      <c r="AC37" s="96"/>
      <c r="AD37" s="96"/>
      <c r="AE37" s="96"/>
      <c r="AF37" s="96"/>
      <c r="AG37" s="97">
        <f t="shared" si="5"/>
        <v>0</v>
      </c>
      <c r="AH37" s="96">
        <v>90</v>
      </c>
      <c r="AI37" s="188"/>
      <c r="AJ37" s="96">
        <v>98</v>
      </c>
      <c r="AK37" s="181">
        <v>90</v>
      </c>
      <c r="AL37" s="97">
        <f t="shared" si="6"/>
        <v>92.666666666666671</v>
      </c>
      <c r="AM37" s="177">
        <v>88</v>
      </c>
      <c r="AN37" s="188"/>
      <c r="AO37" s="96">
        <v>90</v>
      </c>
      <c r="AP37" s="181">
        <v>100</v>
      </c>
      <c r="AQ37" s="97">
        <f t="shared" si="7"/>
        <v>92.666666666666671</v>
      </c>
      <c r="AR37" s="192">
        <v>90</v>
      </c>
      <c r="AS37" s="188"/>
      <c r="AT37" s="194">
        <v>84.5</v>
      </c>
      <c r="AU37" s="181">
        <v>100</v>
      </c>
      <c r="AV37" s="97">
        <f t="shared" si="11"/>
        <v>91.5</v>
      </c>
      <c r="AW37" s="177">
        <v>91</v>
      </c>
      <c r="AX37" s="188"/>
      <c r="AY37" s="96">
        <v>91</v>
      </c>
      <c r="AZ37" s="181">
        <v>95</v>
      </c>
      <c r="BA37" s="97">
        <f t="shared" si="8"/>
        <v>92.333333333333329</v>
      </c>
      <c r="BB37" s="177">
        <v>82</v>
      </c>
      <c r="BC37" s="188"/>
      <c r="BD37" s="96">
        <v>82</v>
      </c>
      <c r="BE37" s="181">
        <v>100</v>
      </c>
      <c r="BF37" s="97">
        <f t="shared" si="9"/>
        <v>88</v>
      </c>
      <c r="BG37" s="177">
        <v>90</v>
      </c>
      <c r="BH37" s="188"/>
      <c r="BI37" s="96">
        <v>89</v>
      </c>
      <c r="BJ37" s="181">
        <v>100</v>
      </c>
      <c r="BK37" s="97">
        <f t="shared" si="10"/>
        <v>93</v>
      </c>
      <c r="BL37" s="186">
        <f t="shared" si="12"/>
        <v>821.16666666666674</v>
      </c>
      <c r="BM37" s="155">
        <f t="shared" si="13"/>
        <v>91.240740740740748</v>
      </c>
      <c r="BN37" s="96"/>
      <c r="BO37" s="96"/>
      <c r="BP37" s="97"/>
      <c r="BQ37" s="20">
        <v>3</v>
      </c>
      <c r="BR37" s="20">
        <v>2</v>
      </c>
      <c r="BS37" s="20">
        <v>0</v>
      </c>
    </row>
    <row r="38" spans="1:71" x14ac:dyDescent="0.25">
      <c r="A38" s="20">
        <v>24</v>
      </c>
      <c r="B38" s="111" t="s">
        <v>231</v>
      </c>
      <c r="C38" s="126" t="s">
        <v>232</v>
      </c>
      <c r="D38" s="96">
        <v>89</v>
      </c>
      <c r="E38" s="188"/>
      <c r="F38" s="96">
        <v>86</v>
      </c>
      <c r="G38" s="96">
        <v>100</v>
      </c>
      <c r="H38" s="176">
        <f t="shared" si="0"/>
        <v>91.666666666666671</v>
      </c>
      <c r="I38" s="96">
        <v>80</v>
      </c>
      <c r="J38" s="188"/>
      <c r="K38" s="96">
        <v>95</v>
      </c>
      <c r="L38" s="181">
        <v>100</v>
      </c>
      <c r="M38" s="97">
        <f t="shared" si="1"/>
        <v>91.666666666666671</v>
      </c>
      <c r="N38" s="177">
        <v>86</v>
      </c>
      <c r="O38" s="188"/>
      <c r="P38" s="96">
        <v>89</v>
      </c>
      <c r="Q38" s="181">
        <v>100</v>
      </c>
      <c r="R38" s="97">
        <f t="shared" si="2"/>
        <v>91.666666666666671</v>
      </c>
      <c r="S38" s="177"/>
      <c r="T38" s="96"/>
      <c r="U38" s="96"/>
      <c r="V38" s="96"/>
      <c r="W38" s="97">
        <f t="shared" si="3"/>
        <v>0</v>
      </c>
      <c r="X38" s="96"/>
      <c r="Y38" s="96"/>
      <c r="Z38" s="96"/>
      <c r="AA38" s="96"/>
      <c r="AB38" s="97">
        <f t="shared" si="4"/>
        <v>0</v>
      </c>
      <c r="AC38" s="96"/>
      <c r="AD38" s="96"/>
      <c r="AE38" s="96"/>
      <c r="AF38" s="96"/>
      <c r="AG38" s="97">
        <f t="shared" si="5"/>
        <v>0</v>
      </c>
      <c r="AH38" s="96">
        <v>90</v>
      </c>
      <c r="AI38" s="188"/>
      <c r="AJ38" s="96">
        <v>95</v>
      </c>
      <c r="AK38" s="181">
        <v>100</v>
      </c>
      <c r="AL38" s="97">
        <f t="shared" si="6"/>
        <v>95</v>
      </c>
      <c r="AM38" s="177">
        <v>88</v>
      </c>
      <c r="AN38" s="188"/>
      <c r="AO38" s="96">
        <v>92</v>
      </c>
      <c r="AP38" s="181">
        <v>100</v>
      </c>
      <c r="AQ38" s="97">
        <f t="shared" si="7"/>
        <v>93.333333333333329</v>
      </c>
      <c r="AR38" s="192">
        <v>93.5</v>
      </c>
      <c r="AS38" s="188"/>
      <c r="AT38" s="194">
        <v>93</v>
      </c>
      <c r="AU38" s="181">
        <v>100</v>
      </c>
      <c r="AV38" s="97">
        <f t="shared" si="11"/>
        <v>95.5</v>
      </c>
      <c r="AW38" s="177">
        <v>90</v>
      </c>
      <c r="AX38" s="188"/>
      <c r="AY38" s="96">
        <v>89</v>
      </c>
      <c r="AZ38" s="181">
        <v>98</v>
      </c>
      <c r="BA38" s="97">
        <f t="shared" si="8"/>
        <v>92.333333333333329</v>
      </c>
      <c r="BB38" s="177">
        <v>88</v>
      </c>
      <c r="BC38" s="188"/>
      <c r="BD38" s="96">
        <v>89</v>
      </c>
      <c r="BE38" s="181">
        <v>100</v>
      </c>
      <c r="BF38" s="97">
        <f t="shared" si="9"/>
        <v>92.333333333333329</v>
      </c>
      <c r="BG38" s="177">
        <v>90</v>
      </c>
      <c r="BH38" s="188"/>
      <c r="BI38" s="96">
        <v>92</v>
      </c>
      <c r="BJ38" s="181">
        <v>100</v>
      </c>
      <c r="BK38" s="97">
        <f t="shared" si="10"/>
        <v>94</v>
      </c>
      <c r="BL38" s="186">
        <f t="shared" si="12"/>
        <v>837.5</v>
      </c>
      <c r="BM38" s="155">
        <f t="shared" si="13"/>
        <v>93.055555555555557</v>
      </c>
      <c r="BN38" s="96"/>
      <c r="BO38" s="96"/>
      <c r="BP38" s="97"/>
      <c r="BQ38" s="20">
        <v>0</v>
      </c>
      <c r="BR38" s="20">
        <v>0</v>
      </c>
      <c r="BS38" s="20">
        <v>0</v>
      </c>
    </row>
    <row r="39" spans="1:71" x14ac:dyDescent="0.25">
      <c r="A39" s="20">
        <v>25</v>
      </c>
      <c r="B39" s="111" t="s">
        <v>233</v>
      </c>
      <c r="C39" s="126" t="s">
        <v>234</v>
      </c>
      <c r="D39" s="96">
        <v>85</v>
      </c>
      <c r="E39" s="188"/>
      <c r="F39" s="96">
        <v>82</v>
      </c>
      <c r="G39" s="96">
        <v>100</v>
      </c>
      <c r="H39" s="176">
        <f t="shared" si="0"/>
        <v>89</v>
      </c>
      <c r="I39" s="96">
        <v>70</v>
      </c>
      <c r="J39" s="188"/>
      <c r="K39" s="96">
        <v>90</v>
      </c>
      <c r="L39" s="181">
        <v>100</v>
      </c>
      <c r="M39" s="97">
        <f t="shared" si="1"/>
        <v>86.666666666666671</v>
      </c>
      <c r="N39" s="177">
        <v>84</v>
      </c>
      <c r="O39" s="188"/>
      <c r="P39" s="96">
        <v>89</v>
      </c>
      <c r="Q39" s="181">
        <v>100</v>
      </c>
      <c r="R39" s="97">
        <f t="shared" si="2"/>
        <v>91</v>
      </c>
      <c r="S39" s="177"/>
      <c r="T39" s="96"/>
      <c r="U39" s="96"/>
      <c r="V39" s="96"/>
      <c r="W39" s="97">
        <f t="shared" si="3"/>
        <v>0</v>
      </c>
      <c r="X39" s="96"/>
      <c r="Y39" s="96"/>
      <c r="Z39" s="96"/>
      <c r="AA39" s="96"/>
      <c r="AB39" s="97">
        <f t="shared" si="4"/>
        <v>0</v>
      </c>
      <c r="AC39" s="96"/>
      <c r="AD39" s="96"/>
      <c r="AE39" s="96"/>
      <c r="AF39" s="96"/>
      <c r="AG39" s="97">
        <f t="shared" si="5"/>
        <v>0</v>
      </c>
      <c r="AH39" s="96">
        <v>80</v>
      </c>
      <c r="AI39" s="188"/>
      <c r="AJ39" s="96">
        <v>98</v>
      </c>
      <c r="AK39" s="181">
        <v>90</v>
      </c>
      <c r="AL39" s="97">
        <f t="shared" si="6"/>
        <v>89.333333333333329</v>
      </c>
      <c r="AM39" s="177">
        <v>88</v>
      </c>
      <c r="AN39" s="188"/>
      <c r="AO39" s="96">
        <v>95</v>
      </c>
      <c r="AP39" s="181">
        <v>100</v>
      </c>
      <c r="AQ39" s="97">
        <f t="shared" si="7"/>
        <v>94.333333333333329</v>
      </c>
      <c r="AR39" s="192">
        <v>85</v>
      </c>
      <c r="AS39" s="188"/>
      <c r="AT39" s="194">
        <v>82</v>
      </c>
      <c r="AU39" s="181">
        <v>100</v>
      </c>
      <c r="AV39" s="97">
        <f t="shared" si="11"/>
        <v>89</v>
      </c>
      <c r="AW39" s="177">
        <v>90</v>
      </c>
      <c r="AX39" s="188"/>
      <c r="AY39" s="96">
        <v>88</v>
      </c>
      <c r="AZ39" s="181">
        <v>97</v>
      </c>
      <c r="BA39" s="97">
        <f t="shared" si="8"/>
        <v>91.666666666666671</v>
      </c>
      <c r="BB39" s="177">
        <v>82</v>
      </c>
      <c r="BC39" s="188"/>
      <c r="BD39" s="96">
        <v>82</v>
      </c>
      <c r="BE39" s="181">
        <v>100</v>
      </c>
      <c r="BF39" s="97">
        <f t="shared" si="9"/>
        <v>88</v>
      </c>
      <c r="BG39" s="177">
        <v>90</v>
      </c>
      <c r="BH39" s="188"/>
      <c r="BI39" s="96">
        <v>93</v>
      </c>
      <c r="BJ39" s="181">
        <v>100</v>
      </c>
      <c r="BK39" s="97">
        <f t="shared" si="10"/>
        <v>94.333333333333329</v>
      </c>
      <c r="BL39" s="186">
        <f t="shared" si="12"/>
        <v>813.33333333333326</v>
      </c>
      <c r="BM39" s="155">
        <f t="shared" si="13"/>
        <v>90.370370370370367</v>
      </c>
      <c r="BN39" s="96"/>
      <c r="BO39" s="96"/>
      <c r="BP39" s="97"/>
      <c r="BQ39" s="20">
        <v>5</v>
      </c>
      <c r="BR39" s="20">
        <v>1</v>
      </c>
      <c r="BS39" s="20">
        <v>0</v>
      </c>
    </row>
    <row r="40" spans="1:71" x14ac:dyDescent="0.25">
      <c r="A40" s="21">
        <v>26</v>
      </c>
      <c r="B40" s="111" t="s">
        <v>235</v>
      </c>
      <c r="C40" s="126" t="s">
        <v>236</v>
      </c>
      <c r="D40" s="96">
        <v>85</v>
      </c>
      <c r="E40" s="188"/>
      <c r="F40" s="96">
        <v>78</v>
      </c>
      <c r="G40" s="96">
        <v>94</v>
      </c>
      <c r="H40" s="97">
        <f t="shared" si="0"/>
        <v>85.666666666666671</v>
      </c>
      <c r="I40" s="96">
        <v>90</v>
      </c>
      <c r="J40" s="188"/>
      <c r="K40" s="96">
        <v>90</v>
      </c>
      <c r="L40" s="181">
        <v>100</v>
      </c>
      <c r="M40" s="97">
        <f t="shared" si="1"/>
        <v>93.333333333333329</v>
      </c>
      <c r="N40" s="177">
        <v>85</v>
      </c>
      <c r="O40" s="188"/>
      <c r="P40" s="96">
        <v>89</v>
      </c>
      <c r="Q40" s="181">
        <v>100</v>
      </c>
      <c r="R40" s="97">
        <f t="shared" si="2"/>
        <v>91.333333333333329</v>
      </c>
      <c r="S40" s="177"/>
      <c r="T40" s="96"/>
      <c r="U40" s="96"/>
      <c r="V40" s="96"/>
      <c r="W40" s="97">
        <f t="shared" si="3"/>
        <v>0</v>
      </c>
      <c r="X40" s="96"/>
      <c r="Y40" s="96"/>
      <c r="Z40" s="96"/>
      <c r="AA40" s="96"/>
      <c r="AB40" s="97">
        <f t="shared" si="4"/>
        <v>0</v>
      </c>
      <c r="AC40" s="96"/>
      <c r="AD40" s="96"/>
      <c r="AE40" s="96"/>
      <c r="AF40" s="96"/>
      <c r="AG40" s="97">
        <f t="shared" si="5"/>
        <v>0</v>
      </c>
      <c r="AH40" s="96">
        <v>90</v>
      </c>
      <c r="AI40" s="188"/>
      <c r="AJ40" s="96">
        <v>95</v>
      </c>
      <c r="AK40" s="181">
        <v>90</v>
      </c>
      <c r="AL40" s="97">
        <f t="shared" si="6"/>
        <v>91.666666666666671</v>
      </c>
      <c r="AM40" s="177">
        <v>88</v>
      </c>
      <c r="AN40" s="188"/>
      <c r="AO40" s="96">
        <v>93</v>
      </c>
      <c r="AP40" s="181">
        <v>100</v>
      </c>
      <c r="AQ40" s="97">
        <f t="shared" si="7"/>
        <v>93.666666666666671</v>
      </c>
      <c r="AR40" s="192">
        <v>90</v>
      </c>
      <c r="AS40" s="188"/>
      <c r="AT40" s="194">
        <v>83</v>
      </c>
      <c r="AU40" s="181">
        <v>100</v>
      </c>
      <c r="AV40" s="97">
        <f t="shared" si="11"/>
        <v>91</v>
      </c>
      <c r="AW40" s="177">
        <v>90</v>
      </c>
      <c r="AX40" s="188"/>
      <c r="AY40" s="96">
        <v>92</v>
      </c>
      <c r="AZ40" s="181">
        <v>96</v>
      </c>
      <c r="BA40" s="97">
        <f t="shared" si="8"/>
        <v>92.666666666666671</v>
      </c>
      <c r="BB40" s="177">
        <v>82</v>
      </c>
      <c r="BC40" s="188"/>
      <c r="BD40" s="96">
        <v>82</v>
      </c>
      <c r="BE40" s="181">
        <v>100</v>
      </c>
      <c r="BF40" s="97">
        <f t="shared" si="9"/>
        <v>88</v>
      </c>
      <c r="BG40" s="177">
        <v>90</v>
      </c>
      <c r="BH40" s="188"/>
      <c r="BI40" s="96">
        <v>89</v>
      </c>
      <c r="BJ40" s="181">
        <v>100</v>
      </c>
      <c r="BK40" s="97">
        <f t="shared" si="10"/>
        <v>93</v>
      </c>
      <c r="BL40" s="186">
        <f t="shared" si="12"/>
        <v>820.33333333333337</v>
      </c>
      <c r="BM40" s="155">
        <f t="shared" si="13"/>
        <v>91.148148148148152</v>
      </c>
      <c r="BN40" s="96"/>
      <c r="BO40" s="96"/>
      <c r="BP40" s="97"/>
      <c r="BQ40" s="20">
        <v>4</v>
      </c>
      <c r="BR40" s="20">
        <v>1</v>
      </c>
      <c r="BS40" s="20">
        <v>0</v>
      </c>
    </row>
    <row r="41" spans="1:71" x14ac:dyDescent="0.25">
      <c r="A41" s="20">
        <v>27</v>
      </c>
      <c r="B41" s="111" t="s">
        <v>237</v>
      </c>
      <c r="C41" s="126" t="s">
        <v>238</v>
      </c>
      <c r="D41" s="96">
        <v>85</v>
      </c>
      <c r="E41" s="188"/>
      <c r="F41" s="96">
        <v>84</v>
      </c>
      <c r="G41" s="96">
        <v>94</v>
      </c>
      <c r="H41" s="97">
        <f t="shared" si="0"/>
        <v>87.666666666666671</v>
      </c>
      <c r="I41" s="96">
        <v>80</v>
      </c>
      <c r="J41" s="188"/>
      <c r="K41" s="96">
        <v>95</v>
      </c>
      <c r="L41" s="181">
        <v>100</v>
      </c>
      <c r="M41" s="97">
        <f t="shared" si="1"/>
        <v>91.666666666666671</v>
      </c>
      <c r="N41" s="177">
        <v>86</v>
      </c>
      <c r="O41" s="188"/>
      <c r="P41" s="96">
        <v>89</v>
      </c>
      <c r="Q41" s="181">
        <v>100</v>
      </c>
      <c r="R41" s="97">
        <f t="shared" si="2"/>
        <v>91.666666666666671</v>
      </c>
      <c r="S41" s="177"/>
      <c r="T41" s="96"/>
      <c r="U41" s="96"/>
      <c r="V41" s="96"/>
      <c r="W41" s="97">
        <f t="shared" si="3"/>
        <v>0</v>
      </c>
      <c r="X41" s="96"/>
      <c r="Y41" s="96"/>
      <c r="Z41" s="96"/>
      <c r="AA41" s="96"/>
      <c r="AB41" s="97">
        <f t="shared" si="4"/>
        <v>0</v>
      </c>
      <c r="AC41" s="96"/>
      <c r="AD41" s="96"/>
      <c r="AE41" s="96"/>
      <c r="AF41" s="96"/>
      <c r="AG41" s="97">
        <f t="shared" si="5"/>
        <v>0</v>
      </c>
      <c r="AH41" s="96">
        <v>85</v>
      </c>
      <c r="AI41" s="188"/>
      <c r="AJ41" s="96">
        <v>98</v>
      </c>
      <c r="AK41" s="181">
        <v>82</v>
      </c>
      <c r="AL41" s="97">
        <f t="shared" si="6"/>
        <v>88.333333333333329</v>
      </c>
      <c r="AM41" s="177">
        <v>88</v>
      </c>
      <c r="AN41" s="188"/>
      <c r="AO41" s="96">
        <v>92</v>
      </c>
      <c r="AP41" s="181">
        <v>100</v>
      </c>
      <c r="AQ41" s="97">
        <f t="shared" si="7"/>
        <v>93.333333333333329</v>
      </c>
      <c r="AR41" s="192">
        <v>92.5</v>
      </c>
      <c r="AS41" s="188"/>
      <c r="AT41" s="194">
        <v>86</v>
      </c>
      <c r="AU41" s="181">
        <v>100</v>
      </c>
      <c r="AV41" s="97">
        <f t="shared" si="11"/>
        <v>92.833333333333329</v>
      </c>
      <c r="AW41" s="177">
        <v>91</v>
      </c>
      <c r="AX41" s="188"/>
      <c r="AY41" s="96">
        <v>90</v>
      </c>
      <c r="AZ41" s="181">
        <v>97</v>
      </c>
      <c r="BA41" s="97">
        <f t="shared" si="8"/>
        <v>92.666666666666671</v>
      </c>
      <c r="BB41" s="177">
        <v>89</v>
      </c>
      <c r="BC41" s="188"/>
      <c r="BD41" s="96">
        <v>87</v>
      </c>
      <c r="BE41" s="181">
        <v>100</v>
      </c>
      <c r="BF41" s="97">
        <f t="shared" si="9"/>
        <v>92</v>
      </c>
      <c r="BG41" s="177">
        <v>90</v>
      </c>
      <c r="BH41" s="188"/>
      <c r="BI41" s="96">
        <v>92</v>
      </c>
      <c r="BJ41" s="181">
        <v>100</v>
      </c>
      <c r="BK41" s="97">
        <f t="shared" si="10"/>
        <v>94</v>
      </c>
      <c r="BL41" s="186">
        <f t="shared" si="12"/>
        <v>824.16666666666663</v>
      </c>
      <c r="BM41" s="155">
        <f t="shared" si="13"/>
        <v>91.574074074074076</v>
      </c>
      <c r="BN41" s="96"/>
      <c r="BO41" s="96"/>
      <c r="BP41" s="97"/>
      <c r="BQ41" s="20">
        <v>2</v>
      </c>
      <c r="BR41" s="20">
        <v>0</v>
      </c>
      <c r="BS41" s="20">
        <v>1</v>
      </c>
    </row>
    <row r="42" spans="1:71" x14ac:dyDescent="0.25">
      <c r="A42" s="20">
        <v>28</v>
      </c>
      <c r="B42" s="111" t="s">
        <v>239</v>
      </c>
      <c r="C42" s="126" t="s">
        <v>240</v>
      </c>
      <c r="D42" s="96">
        <v>89</v>
      </c>
      <c r="E42" s="188"/>
      <c r="F42" s="96">
        <v>86</v>
      </c>
      <c r="G42" s="96">
        <v>94</v>
      </c>
      <c r="H42" s="175">
        <f t="shared" si="0"/>
        <v>89.666666666666671</v>
      </c>
      <c r="I42" s="96">
        <v>80</v>
      </c>
      <c r="J42" s="188"/>
      <c r="K42" s="96">
        <v>95</v>
      </c>
      <c r="L42" s="181">
        <v>100</v>
      </c>
      <c r="M42" s="97">
        <f t="shared" si="1"/>
        <v>91.666666666666671</v>
      </c>
      <c r="N42" s="177">
        <v>98</v>
      </c>
      <c r="O42" s="188"/>
      <c r="P42" s="96">
        <v>89</v>
      </c>
      <c r="Q42" s="181">
        <v>100</v>
      </c>
      <c r="R42" s="97">
        <f t="shared" si="2"/>
        <v>95.666666666666671</v>
      </c>
      <c r="S42" s="177"/>
      <c r="T42" s="96"/>
      <c r="U42" s="96"/>
      <c r="V42" s="96"/>
      <c r="W42" s="97">
        <f t="shared" si="3"/>
        <v>0</v>
      </c>
      <c r="X42" s="96"/>
      <c r="Y42" s="96"/>
      <c r="Z42" s="96"/>
      <c r="AA42" s="96"/>
      <c r="AB42" s="97">
        <f t="shared" si="4"/>
        <v>0</v>
      </c>
      <c r="AC42" s="96"/>
      <c r="AD42" s="96"/>
      <c r="AE42" s="96"/>
      <c r="AF42" s="96"/>
      <c r="AG42" s="97">
        <f t="shared" si="5"/>
        <v>0</v>
      </c>
      <c r="AH42" s="96">
        <v>90</v>
      </c>
      <c r="AI42" s="188"/>
      <c r="AJ42" s="96">
        <v>95</v>
      </c>
      <c r="AK42" s="181">
        <v>100</v>
      </c>
      <c r="AL42" s="97">
        <f t="shared" si="6"/>
        <v>95</v>
      </c>
      <c r="AM42" s="177">
        <v>90</v>
      </c>
      <c r="AN42" s="188"/>
      <c r="AO42" s="96">
        <v>92</v>
      </c>
      <c r="AP42" s="181">
        <v>100</v>
      </c>
      <c r="AQ42" s="97">
        <f t="shared" si="7"/>
        <v>94</v>
      </c>
      <c r="AR42" s="192">
        <v>95</v>
      </c>
      <c r="AS42" s="188"/>
      <c r="AT42" s="194">
        <v>92.5</v>
      </c>
      <c r="AU42" s="181">
        <v>100</v>
      </c>
      <c r="AV42" s="97">
        <f t="shared" si="11"/>
        <v>95.833333333333329</v>
      </c>
      <c r="AW42" s="177">
        <v>90</v>
      </c>
      <c r="AX42" s="188"/>
      <c r="AY42" s="96">
        <v>89</v>
      </c>
      <c r="AZ42" s="181">
        <v>98</v>
      </c>
      <c r="BA42" s="97">
        <f t="shared" si="8"/>
        <v>92.333333333333329</v>
      </c>
      <c r="BB42" s="177">
        <v>90</v>
      </c>
      <c r="BC42" s="188"/>
      <c r="BD42" s="96">
        <v>90</v>
      </c>
      <c r="BE42" s="181">
        <v>100</v>
      </c>
      <c r="BF42" s="97">
        <f t="shared" si="9"/>
        <v>93.333333333333329</v>
      </c>
      <c r="BG42" s="177">
        <v>90</v>
      </c>
      <c r="BH42" s="188"/>
      <c r="BI42" s="96">
        <v>89</v>
      </c>
      <c r="BJ42" s="181">
        <v>100</v>
      </c>
      <c r="BK42" s="97">
        <f t="shared" si="10"/>
        <v>93</v>
      </c>
      <c r="BL42" s="186">
        <f t="shared" si="12"/>
        <v>840.50000000000011</v>
      </c>
      <c r="BM42" s="155">
        <f t="shared" si="13"/>
        <v>93.3888888888889</v>
      </c>
      <c r="BN42" s="96"/>
      <c r="BO42" s="96"/>
      <c r="BP42" s="97"/>
      <c r="BQ42" s="20">
        <v>1</v>
      </c>
      <c r="BR42" s="20">
        <v>0</v>
      </c>
      <c r="BS42" s="20">
        <v>0</v>
      </c>
    </row>
    <row r="43" spans="1:71" x14ac:dyDescent="0.25">
      <c r="A43" s="20">
        <v>29</v>
      </c>
      <c r="B43" s="111" t="s">
        <v>241</v>
      </c>
      <c r="C43" s="126" t="s">
        <v>242</v>
      </c>
      <c r="D43" s="96">
        <v>89</v>
      </c>
      <c r="E43" s="188"/>
      <c r="F43" s="96">
        <v>92</v>
      </c>
      <c r="G43" s="96">
        <v>94</v>
      </c>
      <c r="H43" s="176">
        <f t="shared" si="0"/>
        <v>91.666666666666671</v>
      </c>
      <c r="I43" s="96">
        <v>80</v>
      </c>
      <c r="J43" s="188"/>
      <c r="K43" s="96">
        <v>95</v>
      </c>
      <c r="L43" s="181">
        <v>100</v>
      </c>
      <c r="M43" s="97">
        <f t="shared" si="1"/>
        <v>91.666666666666671</v>
      </c>
      <c r="N43" s="177">
        <v>98</v>
      </c>
      <c r="O43" s="188"/>
      <c r="P43" s="96">
        <v>89</v>
      </c>
      <c r="Q43" s="181">
        <v>100</v>
      </c>
      <c r="R43" s="97">
        <f t="shared" si="2"/>
        <v>95.666666666666671</v>
      </c>
      <c r="S43" s="177"/>
      <c r="T43" s="96"/>
      <c r="U43" s="96"/>
      <c r="V43" s="96"/>
      <c r="W43" s="97">
        <f t="shared" si="3"/>
        <v>0</v>
      </c>
      <c r="X43" s="96"/>
      <c r="Y43" s="96"/>
      <c r="Z43" s="96"/>
      <c r="AA43" s="96"/>
      <c r="AB43" s="97">
        <f t="shared" si="4"/>
        <v>0</v>
      </c>
      <c r="AC43" s="96"/>
      <c r="AD43" s="96"/>
      <c r="AE43" s="96"/>
      <c r="AF43" s="96"/>
      <c r="AG43" s="97">
        <f t="shared" si="5"/>
        <v>0</v>
      </c>
      <c r="AH43" s="96">
        <v>90</v>
      </c>
      <c r="AI43" s="188"/>
      <c r="AJ43" s="96">
        <v>95</v>
      </c>
      <c r="AK43" s="181">
        <v>100</v>
      </c>
      <c r="AL43" s="97">
        <f t="shared" si="6"/>
        <v>95</v>
      </c>
      <c r="AM43" s="177">
        <v>90</v>
      </c>
      <c r="AN43" s="188"/>
      <c r="AO43" s="96">
        <v>92</v>
      </c>
      <c r="AP43" s="181">
        <v>100</v>
      </c>
      <c r="AQ43" s="97">
        <f t="shared" si="7"/>
        <v>94</v>
      </c>
      <c r="AR43" s="192">
        <v>94.5</v>
      </c>
      <c r="AS43" s="188"/>
      <c r="AT43" s="194">
        <v>92</v>
      </c>
      <c r="AU43" s="181">
        <v>100</v>
      </c>
      <c r="AV43" s="97">
        <f t="shared" si="11"/>
        <v>95.5</v>
      </c>
      <c r="AW43" s="177">
        <v>90</v>
      </c>
      <c r="AX43" s="188"/>
      <c r="AY43" s="96">
        <v>88</v>
      </c>
      <c r="AZ43" s="181">
        <v>96</v>
      </c>
      <c r="BA43" s="97">
        <f t="shared" si="8"/>
        <v>91.333333333333329</v>
      </c>
      <c r="BB43" s="177">
        <v>89</v>
      </c>
      <c r="BC43" s="188"/>
      <c r="BD43" s="96">
        <v>87</v>
      </c>
      <c r="BE43" s="181">
        <v>100</v>
      </c>
      <c r="BF43" s="97">
        <f t="shared" si="9"/>
        <v>92</v>
      </c>
      <c r="BG43" s="177">
        <v>90</v>
      </c>
      <c r="BH43" s="188"/>
      <c r="BI43" s="96">
        <v>90</v>
      </c>
      <c r="BJ43" s="181">
        <v>100</v>
      </c>
      <c r="BK43" s="97">
        <f t="shared" si="10"/>
        <v>93.333333333333329</v>
      </c>
      <c r="BL43" s="186">
        <f t="shared" si="12"/>
        <v>840.16666666666674</v>
      </c>
      <c r="BM43" s="155">
        <f t="shared" si="13"/>
        <v>93.351851851851862</v>
      </c>
      <c r="BN43" s="96"/>
      <c r="BO43" s="96"/>
      <c r="BP43" s="97"/>
      <c r="BQ43" s="20">
        <v>5</v>
      </c>
      <c r="BR43" s="20">
        <v>0</v>
      </c>
      <c r="BS43" s="20">
        <v>0</v>
      </c>
    </row>
    <row r="44" spans="1:71" x14ac:dyDescent="0.25">
      <c r="A44" s="20">
        <v>30</v>
      </c>
      <c r="B44" s="111" t="s">
        <v>243</v>
      </c>
      <c r="C44" s="126" t="s">
        <v>244</v>
      </c>
      <c r="D44" s="96">
        <v>88</v>
      </c>
      <c r="E44" s="188"/>
      <c r="F44" s="96">
        <v>86</v>
      </c>
      <c r="G44" s="96">
        <v>94</v>
      </c>
      <c r="H44" s="176">
        <f t="shared" si="0"/>
        <v>89.333333333333329</v>
      </c>
      <c r="I44" s="96">
        <v>90</v>
      </c>
      <c r="J44" s="188"/>
      <c r="K44" s="96">
        <v>95</v>
      </c>
      <c r="L44" s="181">
        <v>100</v>
      </c>
      <c r="M44" s="97">
        <f t="shared" si="1"/>
        <v>95</v>
      </c>
      <c r="N44" s="177">
        <v>85</v>
      </c>
      <c r="O44" s="188"/>
      <c r="P44" s="96">
        <v>89</v>
      </c>
      <c r="Q44" s="181">
        <v>100</v>
      </c>
      <c r="R44" s="97">
        <f t="shared" si="2"/>
        <v>91.333333333333329</v>
      </c>
      <c r="S44" s="177"/>
      <c r="T44" s="96"/>
      <c r="U44" s="96"/>
      <c r="V44" s="96"/>
      <c r="W44" s="97">
        <f t="shared" si="3"/>
        <v>0</v>
      </c>
      <c r="X44" s="96"/>
      <c r="Y44" s="96"/>
      <c r="Z44" s="96"/>
      <c r="AA44" s="96"/>
      <c r="AB44" s="97">
        <f t="shared" si="4"/>
        <v>0</v>
      </c>
      <c r="AC44" s="96"/>
      <c r="AD44" s="96"/>
      <c r="AE44" s="96"/>
      <c r="AF44" s="96"/>
      <c r="AG44" s="97">
        <f t="shared" si="5"/>
        <v>0</v>
      </c>
      <c r="AH44" s="96">
        <v>90</v>
      </c>
      <c r="AI44" s="188"/>
      <c r="AJ44" s="96">
        <v>95</v>
      </c>
      <c r="AK44" s="181">
        <v>100</v>
      </c>
      <c r="AL44" s="97">
        <f t="shared" si="6"/>
        <v>95</v>
      </c>
      <c r="AM44" s="177">
        <v>88</v>
      </c>
      <c r="AN44" s="188"/>
      <c r="AO44" s="96">
        <v>92</v>
      </c>
      <c r="AP44" s="181">
        <v>100</v>
      </c>
      <c r="AQ44" s="97">
        <f t="shared" si="7"/>
        <v>93.333333333333329</v>
      </c>
      <c r="AR44" s="192">
        <v>90</v>
      </c>
      <c r="AS44" s="188"/>
      <c r="AT44" s="194">
        <v>87</v>
      </c>
      <c r="AU44" s="181">
        <v>100</v>
      </c>
      <c r="AV44" s="97">
        <f t="shared" si="11"/>
        <v>92.333333333333329</v>
      </c>
      <c r="AW44" s="177">
        <v>91</v>
      </c>
      <c r="AX44" s="188"/>
      <c r="AY44" s="96">
        <v>90</v>
      </c>
      <c r="AZ44" s="181">
        <v>96</v>
      </c>
      <c r="BA44" s="97">
        <f t="shared" si="8"/>
        <v>92.333333333333329</v>
      </c>
      <c r="BB44" s="177">
        <v>87</v>
      </c>
      <c r="BC44" s="188"/>
      <c r="BD44" s="96">
        <v>88</v>
      </c>
      <c r="BE44" s="181">
        <v>100</v>
      </c>
      <c r="BF44" s="97">
        <f t="shared" si="9"/>
        <v>91.666666666666671</v>
      </c>
      <c r="BG44" s="177">
        <v>90</v>
      </c>
      <c r="BH44" s="188"/>
      <c r="BI44" s="96">
        <v>93</v>
      </c>
      <c r="BJ44" s="181">
        <v>100</v>
      </c>
      <c r="BK44" s="97">
        <f t="shared" si="10"/>
        <v>94.333333333333329</v>
      </c>
      <c r="BL44" s="186">
        <f t="shared" si="12"/>
        <v>834.66666666666663</v>
      </c>
      <c r="BM44" s="155">
        <f t="shared" si="13"/>
        <v>92.740740740740733</v>
      </c>
      <c r="BN44" s="96"/>
      <c r="BO44" s="96"/>
      <c r="BP44" s="97"/>
      <c r="BQ44" s="20">
        <v>3</v>
      </c>
      <c r="BR44" s="20">
        <v>0</v>
      </c>
      <c r="BS44" s="20">
        <v>0</v>
      </c>
    </row>
    <row r="45" spans="1:71" x14ac:dyDescent="0.25">
      <c r="A45" s="20">
        <v>31</v>
      </c>
      <c r="B45" s="111" t="s">
        <v>245</v>
      </c>
      <c r="C45" s="126" t="s">
        <v>246</v>
      </c>
      <c r="D45" s="96">
        <v>85</v>
      </c>
      <c r="E45" s="188"/>
      <c r="F45" s="96">
        <v>78</v>
      </c>
      <c r="G45" s="96">
        <v>94</v>
      </c>
      <c r="H45" s="176">
        <f t="shared" si="0"/>
        <v>85.666666666666671</v>
      </c>
      <c r="I45" s="96">
        <v>89</v>
      </c>
      <c r="J45" s="188"/>
      <c r="K45" s="96">
        <v>89</v>
      </c>
      <c r="L45" s="181">
        <v>100</v>
      </c>
      <c r="M45" s="97">
        <f t="shared" si="1"/>
        <v>92.666666666666671</v>
      </c>
      <c r="N45" s="177">
        <v>83</v>
      </c>
      <c r="O45" s="188"/>
      <c r="P45" s="96">
        <v>89</v>
      </c>
      <c r="Q45" s="181">
        <v>100</v>
      </c>
      <c r="R45" s="97">
        <f t="shared" si="2"/>
        <v>90.666666666666671</v>
      </c>
      <c r="S45" s="177"/>
      <c r="T45" s="96"/>
      <c r="U45" s="96"/>
      <c r="V45" s="96"/>
      <c r="W45" s="97">
        <f t="shared" si="3"/>
        <v>0</v>
      </c>
      <c r="X45" s="96"/>
      <c r="Y45" s="96"/>
      <c r="Z45" s="96"/>
      <c r="AA45" s="96"/>
      <c r="AB45" s="97">
        <f t="shared" si="4"/>
        <v>0</v>
      </c>
      <c r="AC45" s="96"/>
      <c r="AD45" s="96"/>
      <c r="AE45" s="96"/>
      <c r="AF45" s="96"/>
      <c r="AG45" s="97">
        <f t="shared" si="5"/>
        <v>0</v>
      </c>
      <c r="AH45" s="96">
        <v>70</v>
      </c>
      <c r="AI45" s="188"/>
      <c r="AJ45" s="96">
        <v>95</v>
      </c>
      <c r="AK45" s="181">
        <v>85</v>
      </c>
      <c r="AL45" s="97">
        <f t="shared" si="6"/>
        <v>83.333333333333329</v>
      </c>
      <c r="AM45" s="177">
        <v>90</v>
      </c>
      <c r="AN45" s="188"/>
      <c r="AO45" s="96">
        <v>90</v>
      </c>
      <c r="AP45" s="181">
        <v>100</v>
      </c>
      <c r="AQ45" s="97">
        <f t="shared" si="7"/>
        <v>93.333333333333329</v>
      </c>
      <c r="AR45" s="192">
        <v>88</v>
      </c>
      <c r="AS45" s="188"/>
      <c r="AT45" s="194">
        <v>82</v>
      </c>
      <c r="AU45" s="181">
        <v>100</v>
      </c>
      <c r="AV45" s="97">
        <f t="shared" si="11"/>
        <v>90</v>
      </c>
      <c r="AW45" s="177">
        <v>91</v>
      </c>
      <c r="AX45" s="188"/>
      <c r="AY45" s="96">
        <v>91</v>
      </c>
      <c r="AZ45" s="181">
        <v>97</v>
      </c>
      <c r="BA45" s="97">
        <f t="shared" si="8"/>
        <v>93</v>
      </c>
      <c r="BB45" s="177">
        <v>82</v>
      </c>
      <c r="BC45" s="188"/>
      <c r="BD45" s="96">
        <v>82</v>
      </c>
      <c r="BE45" s="181">
        <v>100</v>
      </c>
      <c r="BF45" s="97">
        <f t="shared" si="9"/>
        <v>88</v>
      </c>
      <c r="BG45" s="177">
        <v>90</v>
      </c>
      <c r="BH45" s="188"/>
      <c r="BI45" s="96">
        <v>89</v>
      </c>
      <c r="BJ45" s="181">
        <v>100</v>
      </c>
      <c r="BK45" s="97">
        <f t="shared" si="10"/>
        <v>93</v>
      </c>
      <c r="BL45" s="186">
        <f t="shared" si="12"/>
        <v>809.66666666666663</v>
      </c>
      <c r="BM45" s="155">
        <f t="shared" si="13"/>
        <v>89.962962962962962</v>
      </c>
      <c r="BN45" s="96"/>
      <c r="BO45" s="96"/>
      <c r="BP45" s="97"/>
      <c r="BQ45" s="20">
        <v>2</v>
      </c>
      <c r="BR45" s="20">
        <v>2</v>
      </c>
      <c r="BS45" s="20">
        <v>0</v>
      </c>
    </row>
    <row r="46" spans="1:71" x14ac:dyDescent="0.25">
      <c r="A46" s="20">
        <v>32</v>
      </c>
      <c r="B46" s="111" t="s">
        <v>247</v>
      </c>
      <c r="C46" s="126" t="s">
        <v>248</v>
      </c>
      <c r="D46" s="96">
        <v>85</v>
      </c>
      <c r="E46" s="188"/>
      <c r="F46" s="96">
        <v>78</v>
      </c>
      <c r="G46" s="96">
        <v>88</v>
      </c>
      <c r="H46" s="97">
        <f t="shared" si="0"/>
        <v>83.666666666666671</v>
      </c>
      <c r="I46" s="96">
        <v>90</v>
      </c>
      <c r="J46" s="188"/>
      <c r="K46" s="96">
        <v>90</v>
      </c>
      <c r="L46" s="181">
        <v>100</v>
      </c>
      <c r="M46" s="97">
        <f t="shared" si="1"/>
        <v>93.333333333333329</v>
      </c>
      <c r="N46" s="177">
        <v>84</v>
      </c>
      <c r="O46" s="188"/>
      <c r="P46" s="96">
        <v>89</v>
      </c>
      <c r="Q46" s="181">
        <v>100</v>
      </c>
      <c r="R46" s="97">
        <f t="shared" si="2"/>
        <v>91</v>
      </c>
      <c r="S46" s="177"/>
      <c r="T46" s="96"/>
      <c r="U46" s="96"/>
      <c r="V46" s="96"/>
      <c r="W46" s="97">
        <f t="shared" si="3"/>
        <v>0</v>
      </c>
      <c r="X46" s="96"/>
      <c r="Y46" s="96"/>
      <c r="Z46" s="96"/>
      <c r="AA46" s="96"/>
      <c r="AB46" s="97">
        <f t="shared" si="4"/>
        <v>0</v>
      </c>
      <c r="AC46" s="96"/>
      <c r="AD46" s="96"/>
      <c r="AE46" s="96"/>
      <c r="AF46" s="96"/>
      <c r="AG46" s="97">
        <f t="shared" si="5"/>
        <v>0</v>
      </c>
      <c r="AH46" s="96">
        <v>90</v>
      </c>
      <c r="AI46" s="188"/>
      <c r="AJ46" s="96">
        <v>95</v>
      </c>
      <c r="AK46" s="181">
        <v>85</v>
      </c>
      <c r="AL46" s="97">
        <f t="shared" si="6"/>
        <v>90</v>
      </c>
      <c r="AM46" s="177">
        <v>90</v>
      </c>
      <c r="AN46" s="188"/>
      <c r="AO46" s="96">
        <v>92</v>
      </c>
      <c r="AP46" s="181">
        <v>100</v>
      </c>
      <c r="AQ46" s="97">
        <f t="shared" si="7"/>
        <v>94</v>
      </c>
      <c r="AR46" s="192">
        <v>93</v>
      </c>
      <c r="AS46" s="188"/>
      <c r="AT46" s="194">
        <v>85.5</v>
      </c>
      <c r="AU46" s="181">
        <v>100</v>
      </c>
      <c r="AV46" s="97">
        <f t="shared" si="11"/>
        <v>92.833333333333329</v>
      </c>
      <c r="AW46" s="177">
        <v>90</v>
      </c>
      <c r="AX46" s="188"/>
      <c r="AY46" s="96">
        <v>90</v>
      </c>
      <c r="AZ46" s="181">
        <v>98</v>
      </c>
      <c r="BA46" s="97">
        <f t="shared" si="8"/>
        <v>92.666666666666671</v>
      </c>
      <c r="BB46" s="177">
        <v>88</v>
      </c>
      <c r="BC46" s="188"/>
      <c r="BD46" s="96">
        <v>88</v>
      </c>
      <c r="BE46" s="181">
        <v>100</v>
      </c>
      <c r="BF46" s="97">
        <f t="shared" si="9"/>
        <v>92</v>
      </c>
      <c r="BG46" s="177">
        <v>90</v>
      </c>
      <c r="BH46" s="188"/>
      <c r="BI46" s="96">
        <v>92</v>
      </c>
      <c r="BJ46" s="181">
        <v>100</v>
      </c>
      <c r="BK46" s="97">
        <f t="shared" si="10"/>
        <v>94</v>
      </c>
      <c r="BL46" s="186">
        <f t="shared" si="12"/>
        <v>823.5</v>
      </c>
      <c r="BM46" s="155">
        <f t="shared" si="13"/>
        <v>91.5</v>
      </c>
      <c r="BN46" s="96"/>
      <c r="BO46" s="96"/>
      <c r="BP46" s="97"/>
      <c r="BQ46" s="20">
        <v>2</v>
      </c>
      <c r="BR46" s="20">
        <v>1</v>
      </c>
      <c r="BS46" s="20">
        <v>0</v>
      </c>
    </row>
    <row r="47" spans="1:71" x14ac:dyDescent="0.25">
      <c r="A47" s="20">
        <v>33</v>
      </c>
      <c r="B47" s="111"/>
      <c r="C47" s="126"/>
      <c r="D47" s="96"/>
      <c r="E47" s="96"/>
      <c r="F47" s="96"/>
      <c r="G47" s="96"/>
      <c r="H47" s="175">
        <f t="shared" si="0"/>
        <v>0</v>
      </c>
      <c r="I47" s="96"/>
      <c r="J47" s="96"/>
      <c r="K47" s="96"/>
      <c r="L47" s="181"/>
      <c r="M47" s="97">
        <f t="shared" si="1"/>
        <v>0</v>
      </c>
      <c r="N47" s="177"/>
      <c r="O47" s="96"/>
      <c r="P47" s="96"/>
      <c r="Q47" s="181"/>
      <c r="R47" s="97">
        <f t="shared" si="2"/>
        <v>0</v>
      </c>
      <c r="S47" s="177"/>
      <c r="T47" s="96"/>
      <c r="U47" s="96"/>
      <c r="V47" s="96"/>
      <c r="W47" s="97">
        <f t="shared" si="3"/>
        <v>0</v>
      </c>
      <c r="X47" s="96"/>
      <c r="Y47" s="96"/>
      <c r="Z47" s="96"/>
      <c r="AA47" s="96"/>
      <c r="AB47" s="97">
        <f t="shared" si="4"/>
        <v>0</v>
      </c>
      <c r="AC47" s="96"/>
      <c r="AD47" s="96"/>
      <c r="AE47" s="96"/>
      <c r="AF47" s="96"/>
      <c r="AG47" s="97">
        <f t="shared" si="5"/>
        <v>0</v>
      </c>
      <c r="AH47" s="96"/>
      <c r="AI47" s="96"/>
      <c r="AJ47" s="96"/>
      <c r="AK47" s="181"/>
      <c r="AL47" s="97">
        <f t="shared" si="6"/>
        <v>0</v>
      </c>
      <c r="AM47" s="177"/>
      <c r="AN47" s="96"/>
      <c r="AO47" s="96"/>
      <c r="AP47" s="181"/>
      <c r="AQ47" s="97">
        <f t="shared" si="7"/>
        <v>0</v>
      </c>
      <c r="AR47" s="177"/>
      <c r="AS47" s="96"/>
      <c r="AT47" s="96"/>
      <c r="AU47" s="181"/>
      <c r="AV47" s="97">
        <f t="shared" ref="AV47:AV59" si="14">(AR47+AS47+AT47+AU47)/43</f>
        <v>0</v>
      </c>
      <c r="AW47" s="177"/>
      <c r="AX47" s="96"/>
      <c r="AY47" s="96"/>
      <c r="AZ47" s="181"/>
      <c r="BA47" s="97">
        <f t="shared" si="8"/>
        <v>0</v>
      </c>
      <c r="BB47" s="177"/>
      <c r="BC47" s="96"/>
      <c r="BD47" s="96"/>
      <c r="BE47" s="181"/>
      <c r="BF47" s="97">
        <f t="shared" si="9"/>
        <v>0</v>
      </c>
      <c r="BG47" s="177"/>
      <c r="BH47" s="96"/>
      <c r="BI47" s="96"/>
      <c r="BJ47" s="181"/>
      <c r="BK47" s="97">
        <f t="shared" si="10"/>
        <v>0</v>
      </c>
      <c r="BL47" s="186">
        <f t="shared" si="12"/>
        <v>0</v>
      </c>
      <c r="BM47" s="155">
        <f t="shared" si="13"/>
        <v>0</v>
      </c>
      <c r="BN47" s="96"/>
      <c r="BO47" s="96"/>
      <c r="BP47" s="97"/>
      <c r="BQ47" s="20"/>
      <c r="BR47" s="20"/>
      <c r="BS47" s="20"/>
    </row>
    <row r="48" spans="1:71" x14ac:dyDescent="0.25">
      <c r="A48" s="21">
        <v>34</v>
      </c>
      <c r="B48" s="111"/>
      <c r="C48" s="126"/>
      <c r="D48" s="96"/>
      <c r="E48" s="96"/>
      <c r="F48" s="96"/>
      <c r="G48" s="96"/>
      <c r="H48" s="97">
        <f t="shared" si="0"/>
        <v>0</v>
      </c>
      <c r="I48" s="96"/>
      <c r="J48" s="96"/>
      <c r="K48" s="96"/>
      <c r="L48" s="181"/>
      <c r="M48" s="97">
        <f t="shared" si="1"/>
        <v>0</v>
      </c>
      <c r="N48" s="177"/>
      <c r="O48" s="96"/>
      <c r="P48" s="96"/>
      <c r="Q48" s="181"/>
      <c r="R48" s="97">
        <f t="shared" si="2"/>
        <v>0</v>
      </c>
      <c r="S48" s="177"/>
      <c r="T48" s="96"/>
      <c r="U48" s="96"/>
      <c r="V48" s="96"/>
      <c r="W48" s="97">
        <f t="shared" si="3"/>
        <v>0</v>
      </c>
      <c r="X48" s="96"/>
      <c r="Y48" s="96"/>
      <c r="Z48" s="96"/>
      <c r="AA48" s="96"/>
      <c r="AB48" s="97">
        <f t="shared" si="4"/>
        <v>0</v>
      </c>
      <c r="AC48" s="96"/>
      <c r="AD48" s="96"/>
      <c r="AE48" s="96"/>
      <c r="AF48" s="96"/>
      <c r="AG48" s="97">
        <f t="shared" si="5"/>
        <v>0</v>
      </c>
      <c r="AH48" s="96"/>
      <c r="AI48" s="96"/>
      <c r="AJ48" s="96"/>
      <c r="AK48" s="181"/>
      <c r="AL48" s="97">
        <f t="shared" si="6"/>
        <v>0</v>
      </c>
      <c r="AM48" s="177"/>
      <c r="AN48" s="96"/>
      <c r="AO48" s="96"/>
      <c r="AP48" s="181"/>
      <c r="AQ48" s="97">
        <f t="shared" si="7"/>
        <v>0</v>
      </c>
      <c r="AR48" s="177"/>
      <c r="AS48" s="96"/>
      <c r="AT48" s="96"/>
      <c r="AU48" s="181"/>
      <c r="AV48" s="97">
        <f t="shared" si="14"/>
        <v>0</v>
      </c>
      <c r="AW48" s="177"/>
      <c r="AX48" s="96"/>
      <c r="AY48" s="96"/>
      <c r="AZ48" s="181"/>
      <c r="BA48" s="97">
        <f t="shared" si="8"/>
        <v>0</v>
      </c>
      <c r="BB48" s="177"/>
      <c r="BC48" s="96"/>
      <c r="BD48" s="96"/>
      <c r="BE48" s="181"/>
      <c r="BF48" s="97">
        <f t="shared" si="9"/>
        <v>0</v>
      </c>
      <c r="BG48" s="177"/>
      <c r="BH48" s="96"/>
      <c r="BI48" s="96"/>
      <c r="BJ48" s="181"/>
      <c r="BK48" s="97">
        <f t="shared" si="10"/>
        <v>0</v>
      </c>
      <c r="BL48" s="186">
        <f t="shared" si="12"/>
        <v>0</v>
      </c>
      <c r="BM48" s="155">
        <f t="shared" si="13"/>
        <v>0</v>
      </c>
      <c r="BN48" s="96"/>
      <c r="BO48" s="96"/>
      <c r="BP48" s="97"/>
      <c r="BQ48" s="20"/>
      <c r="BR48" s="20"/>
      <c r="BS48" s="20"/>
    </row>
    <row r="49" spans="1:71" x14ac:dyDescent="0.25">
      <c r="A49" s="20">
        <v>35</v>
      </c>
      <c r="B49" s="111"/>
      <c r="C49" s="126"/>
      <c r="D49" s="96"/>
      <c r="E49" s="96"/>
      <c r="F49" s="96"/>
      <c r="G49" s="96"/>
      <c r="H49" s="175">
        <f t="shared" si="0"/>
        <v>0</v>
      </c>
      <c r="I49" s="96"/>
      <c r="J49" s="96"/>
      <c r="K49" s="96"/>
      <c r="L49" s="181"/>
      <c r="M49" s="97">
        <f t="shared" si="1"/>
        <v>0</v>
      </c>
      <c r="N49" s="177"/>
      <c r="O49" s="96"/>
      <c r="P49" s="96"/>
      <c r="Q49" s="181"/>
      <c r="R49" s="97">
        <f t="shared" si="2"/>
        <v>0</v>
      </c>
      <c r="S49" s="177"/>
      <c r="T49" s="96"/>
      <c r="U49" s="96"/>
      <c r="V49" s="96"/>
      <c r="W49" s="97">
        <f t="shared" si="3"/>
        <v>0</v>
      </c>
      <c r="X49" s="96"/>
      <c r="Y49" s="96"/>
      <c r="Z49" s="96"/>
      <c r="AA49" s="96"/>
      <c r="AB49" s="97">
        <f t="shared" si="4"/>
        <v>0</v>
      </c>
      <c r="AC49" s="96"/>
      <c r="AD49" s="96"/>
      <c r="AE49" s="96"/>
      <c r="AF49" s="96"/>
      <c r="AG49" s="97">
        <f t="shared" si="5"/>
        <v>0</v>
      </c>
      <c r="AH49" s="96"/>
      <c r="AI49" s="96"/>
      <c r="AJ49" s="96"/>
      <c r="AK49" s="181"/>
      <c r="AL49" s="97">
        <f t="shared" si="6"/>
        <v>0</v>
      </c>
      <c r="AM49" s="177"/>
      <c r="AN49" s="96"/>
      <c r="AO49" s="96"/>
      <c r="AP49" s="181"/>
      <c r="AQ49" s="97">
        <f t="shared" si="7"/>
        <v>0</v>
      </c>
      <c r="AR49" s="177"/>
      <c r="AS49" s="96"/>
      <c r="AT49" s="96"/>
      <c r="AU49" s="181"/>
      <c r="AV49" s="97">
        <f t="shared" si="14"/>
        <v>0</v>
      </c>
      <c r="AW49" s="177"/>
      <c r="AX49" s="96"/>
      <c r="AY49" s="96"/>
      <c r="AZ49" s="181"/>
      <c r="BA49" s="97">
        <f t="shared" si="8"/>
        <v>0</v>
      </c>
      <c r="BB49" s="177"/>
      <c r="BC49" s="96"/>
      <c r="BD49" s="96"/>
      <c r="BE49" s="181"/>
      <c r="BF49" s="97">
        <f t="shared" si="9"/>
        <v>0</v>
      </c>
      <c r="BG49" s="177"/>
      <c r="BH49" s="96"/>
      <c r="BI49" s="96"/>
      <c r="BJ49" s="181"/>
      <c r="BK49" s="97">
        <f t="shared" si="10"/>
        <v>0</v>
      </c>
      <c r="BL49" s="186">
        <f t="shared" si="12"/>
        <v>0</v>
      </c>
      <c r="BM49" s="155">
        <f t="shared" si="13"/>
        <v>0</v>
      </c>
      <c r="BN49" s="96"/>
      <c r="BO49" s="96"/>
      <c r="BP49" s="97"/>
      <c r="BQ49" s="20"/>
      <c r="BR49" s="20"/>
      <c r="BS49" s="20"/>
    </row>
    <row r="50" spans="1:71" x14ac:dyDescent="0.25">
      <c r="A50" s="20">
        <v>36</v>
      </c>
      <c r="B50" s="111"/>
      <c r="C50" s="126"/>
      <c r="D50" s="96"/>
      <c r="E50" s="96"/>
      <c r="F50" s="96"/>
      <c r="G50" s="96"/>
      <c r="H50" s="97">
        <f t="shared" si="0"/>
        <v>0</v>
      </c>
      <c r="I50" s="96"/>
      <c r="J50" s="96"/>
      <c r="K50" s="96"/>
      <c r="L50" s="181"/>
      <c r="M50" s="97">
        <f t="shared" si="1"/>
        <v>0</v>
      </c>
      <c r="N50" s="177"/>
      <c r="O50" s="96"/>
      <c r="P50" s="96"/>
      <c r="Q50" s="181"/>
      <c r="R50" s="97">
        <f t="shared" si="2"/>
        <v>0</v>
      </c>
      <c r="S50" s="177"/>
      <c r="T50" s="96"/>
      <c r="U50" s="96"/>
      <c r="V50" s="96"/>
      <c r="W50" s="97">
        <f t="shared" si="3"/>
        <v>0</v>
      </c>
      <c r="X50" s="96"/>
      <c r="Y50" s="96"/>
      <c r="Z50" s="96"/>
      <c r="AA50" s="96"/>
      <c r="AB50" s="97">
        <f t="shared" si="4"/>
        <v>0</v>
      </c>
      <c r="AC50" s="96"/>
      <c r="AD50" s="96"/>
      <c r="AE50" s="96"/>
      <c r="AF50" s="96"/>
      <c r="AG50" s="97">
        <f t="shared" si="5"/>
        <v>0</v>
      </c>
      <c r="AH50" s="96"/>
      <c r="AI50" s="96"/>
      <c r="AJ50" s="96"/>
      <c r="AK50" s="181"/>
      <c r="AL50" s="97">
        <f t="shared" si="6"/>
        <v>0</v>
      </c>
      <c r="AM50" s="177"/>
      <c r="AN50" s="96"/>
      <c r="AO50" s="96"/>
      <c r="AP50" s="181"/>
      <c r="AQ50" s="97">
        <f t="shared" si="7"/>
        <v>0</v>
      </c>
      <c r="AR50" s="177"/>
      <c r="AS50" s="96"/>
      <c r="AT50" s="96"/>
      <c r="AU50" s="181"/>
      <c r="AV50" s="97">
        <f t="shared" si="14"/>
        <v>0</v>
      </c>
      <c r="AW50" s="177"/>
      <c r="AX50" s="96"/>
      <c r="AY50" s="96"/>
      <c r="AZ50" s="181"/>
      <c r="BA50" s="97">
        <f t="shared" si="8"/>
        <v>0</v>
      </c>
      <c r="BB50" s="177"/>
      <c r="BC50" s="96"/>
      <c r="BD50" s="96"/>
      <c r="BE50" s="181"/>
      <c r="BF50" s="97">
        <f t="shared" si="9"/>
        <v>0</v>
      </c>
      <c r="BG50" s="177"/>
      <c r="BH50" s="96"/>
      <c r="BI50" s="96"/>
      <c r="BJ50" s="181"/>
      <c r="BK50" s="97">
        <f t="shared" si="10"/>
        <v>0</v>
      </c>
      <c r="BL50" s="186">
        <f t="shared" si="12"/>
        <v>0</v>
      </c>
      <c r="BM50" s="155">
        <f t="shared" si="13"/>
        <v>0</v>
      </c>
      <c r="BN50" s="96"/>
      <c r="BO50" s="96"/>
      <c r="BP50" s="97"/>
      <c r="BQ50" s="20"/>
      <c r="BR50" s="20"/>
      <c r="BS50" s="20"/>
    </row>
    <row r="51" spans="1:71" x14ac:dyDescent="0.25">
      <c r="A51" s="20">
        <v>37</v>
      </c>
      <c r="B51" s="111"/>
      <c r="C51" s="126"/>
      <c r="D51" s="96"/>
      <c r="E51" s="96"/>
      <c r="F51" s="96"/>
      <c r="G51" s="96"/>
      <c r="H51" s="97">
        <f t="shared" si="0"/>
        <v>0</v>
      </c>
      <c r="I51" s="96"/>
      <c r="J51" s="96"/>
      <c r="K51" s="96"/>
      <c r="L51" s="181"/>
      <c r="M51" s="97">
        <f t="shared" si="1"/>
        <v>0</v>
      </c>
      <c r="N51" s="177"/>
      <c r="O51" s="96"/>
      <c r="P51" s="96"/>
      <c r="Q51" s="181"/>
      <c r="R51" s="97">
        <f t="shared" si="2"/>
        <v>0</v>
      </c>
      <c r="S51" s="177"/>
      <c r="T51" s="96"/>
      <c r="U51" s="96"/>
      <c r="V51" s="96"/>
      <c r="W51" s="97">
        <f t="shared" si="3"/>
        <v>0</v>
      </c>
      <c r="X51" s="96"/>
      <c r="Y51" s="96"/>
      <c r="Z51" s="96"/>
      <c r="AA51" s="96"/>
      <c r="AB51" s="97">
        <f t="shared" si="4"/>
        <v>0</v>
      </c>
      <c r="AC51" s="96"/>
      <c r="AD51" s="96"/>
      <c r="AE51" s="96"/>
      <c r="AF51" s="96"/>
      <c r="AG51" s="97">
        <f t="shared" si="5"/>
        <v>0</v>
      </c>
      <c r="AH51" s="96"/>
      <c r="AI51" s="96"/>
      <c r="AJ51" s="96"/>
      <c r="AK51" s="181"/>
      <c r="AL51" s="97">
        <f t="shared" si="6"/>
        <v>0</v>
      </c>
      <c r="AM51" s="177"/>
      <c r="AN51" s="96"/>
      <c r="AO51" s="96"/>
      <c r="AP51" s="181"/>
      <c r="AQ51" s="97">
        <f t="shared" si="7"/>
        <v>0</v>
      </c>
      <c r="AR51" s="177"/>
      <c r="AS51" s="96"/>
      <c r="AT51" s="96"/>
      <c r="AU51" s="181"/>
      <c r="AV51" s="97">
        <f t="shared" si="14"/>
        <v>0</v>
      </c>
      <c r="AW51" s="177"/>
      <c r="AX51" s="96"/>
      <c r="AY51" s="96"/>
      <c r="AZ51" s="181"/>
      <c r="BA51" s="97">
        <f t="shared" si="8"/>
        <v>0</v>
      </c>
      <c r="BB51" s="177"/>
      <c r="BC51" s="96"/>
      <c r="BD51" s="96"/>
      <c r="BE51" s="181"/>
      <c r="BF51" s="97">
        <f t="shared" si="9"/>
        <v>0</v>
      </c>
      <c r="BG51" s="177"/>
      <c r="BH51" s="96"/>
      <c r="BI51" s="96"/>
      <c r="BJ51" s="181"/>
      <c r="BK51" s="97">
        <f t="shared" si="10"/>
        <v>0</v>
      </c>
      <c r="BL51" s="186">
        <f t="shared" si="12"/>
        <v>0</v>
      </c>
      <c r="BM51" s="155">
        <f t="shared" si="13"/>
        <v>0</v>
      </c>
      <c r="BN51" s="96"/>
      <c r="BO51" s="96"/>
      <c r="BP51" s="97"/>
      <c r="BQ51" s="20"/>
      <c r="BR51" s="20"/>
      <c r="BS51" s="20"/>
    </row>
    <row r="52" spans="1:71" x14ac:dyDescent="0.25">
      <c r="A52" s="20">
        <v>38</v>
      </c>
      <c r="B52" s="111"/>
      <c r="C52" s="126"/>
      <c r="D52" s="96"/>
      <c r="E52" s="96"/>
      <c r="F52" s="96"/>
      <c r="G52" s="96"/>
      <c r="H52" s="175">
        <f t="shared" si="0"/>
        <v>0</v>
      </c>
      <c r="I52" s="96"/>
      <c r="J52" s="96"/>
      <c r="K52" s="96"/>
      <c r="L52" s="181"/>
      <c r="M52" s="97">
        <f t="shared" si="1"/>
        <v>0</v>
      </c>
      <c r="N52" s="177"/>
      <c r="O52" s="96"/>
      <c r="P52" s="96"/>
      <c r="Q52" s="181"/>
      <c r="R52" s="97">
        <f t="shared" si="2"/>
        <v>0</v>
      </c>
      <c r="S52" s="177"/>
      <c r="T52" s="96"/>
      <c r="U52" s="96"/>
      <c r="V52" s="96"/>
      <c r="W52" s="97">
        <f t="shared" si="3"/>
        <v>0</v>
      </c>
      <c r="X52" s="96"/>
      <c r="Y52" s="96"/>
      <c r="Z52" s="96"/>
      <c r="AA52" s="96"/>
      <c r="AB52" s="97">
        <f t="shared" si="4"/>
        <v>0</v>
      </c>
      <c r="AC52" s="96"/>
      <c r="AD52" s="96"/>
      <c r="AE52" s="96"/>
      <c r="AF52" s="96"/>
      <c r="AG52" s="97">
        <f t="shared" si="5"/>
        <v>0</v>
      </c>
      <c r="AH52" s="96"/>
      <c r="AI52" s="96"/>
      <c r="AJ52" s="96"/>
      <c r="AK52" s="181"/>
      <c r="AL52" s="97">
        <f t="shared" si="6"/>
        <v>0</v>
      </c>
      <c r="AM52" s="177"/>
      <c r="AN52" s="96"/>
      <c r="AO52" s="96"/>
      <c r="AP52" s="181"/>
      <c r="AQ52" s="97">
        <f t="shared" si="7"/>
        <v>0</v>
      </c>
      <c r="AR52" s="177"/>
      <c r="AS52" s="96"/>
      <c r="AT52" s="96"/>
      <c r="AU52" s="181"/>
      <c r="AV52" s="97">
        <f t="shared" si="14"/>
        <v>0</v>
      </c>
      <c r="AW52" s="177"/>
      <c r="AX52" s="96"/>
      <c r="AY52" s="96"/>
      <c r="AZ52" s="181"/>
      <c r="BA52" s="97">
        <f t="shared" si="8"/>
        <v>0</v>
      </c>
      <c r="BB52" s="177"/>
      <c r="BC52" s="96"/>
      <c r="BD52" s="96"/>
      <c r="BE52" s="181"/>
      <c r="BF52" s="97">
        <f t="shared" si="9"/>
        <v>0</v>
      </c>
      <c r="BG52" s="177"/>
      <c r="BH52" s="96"/>
      <c r="BI52" s="96"/>
      <c r="BJ52" s="181"/>
      <c r="BK52" s="97">
        <f t="shared" si="10"/>
        <v>0</v>
      </c>
      <c r="BL52" s="186">
        <f t="shared" si="12"/>
        <v>0</v>
      </c>
      <c r="BM52" s="155">
        <f t="shared" si="13"/>
        <v>0</v>
      </c>
      <c r="BN52" s="96"/>
      <c r="BO52" s="96"/>
      <c r="BP52" s="97"/>
      <c r="BQ52" s="20"/>
      <c r="BR52" s="20"/>
      <c r="BS52" s="20"/>
    </row>
    <row r="53" spans="1:71" x14ac:dyDescent="0.25">
      <c r="A53" s="20">
        <v>39</v>
      </c>
      <c r="B53" s="111"/>
      <c r="C53" s="126"/>
      <c r="D53" s="96"/>
      <c r="E53" s="96"/>
      <c r="F53" s="96"/>
      <c r="G53" s="96"/>
      <c r="H53" s="176">
        <f t="shared" si="0"/>
        <v>0</v>
      </c>
      <c r="I53" s="96"/>
      <c r="J53" s="96"/>
      <c r="K53" s="96"/>
      <c r="L53" s="181"/>
      <c r="M53" s="97">
        <f t="shared" si="1"/>
        <v>0</v>
      </c>
      <c r="N53" s="177"/>
      <c r="O53" s="96"/>
      <c r="P53" s="96"/>
      <c r="Q53" s="181"/>
      <c r="R53" s="97">
        <f t="shared" si="2"/>
        <v>0</v>
      </c>
      <c r="S53" s="177"/>
      <c r="T53" s="96"/>
      <c r="U53" s="96"/>
      <c r="V53" s="96"/>
      <c r="W53" s="97">
        <f t="shared" ref="W53:W59" si="15">(S53+T53+U53+V53)/4</f>
        <v>0</v>
      </c>
      <c r="X53" s="96"/>
      <c r="Y53" s="96"/>
      <c r="Z53" s="96"/>
      <c r="AA53" s="96"/>
      <c r="AB53" s="97">
        <f t="shared" ref="AB53:AB59" si="16">(X53+Y53+Z53+AA53)/4</f>
        <v>0</v>
      </c>
      <c r="AC53" s="96"/>
      <c r="AD53" s="96"/>
      <c r="AE53" s="96"/>
      <c r="AF53" s="96"/>
      <c r="AG53" s="97">
        <f t="shared" ref="AG53:AG59" si="17">(AC53+AD53+AE53+AF53)/4</f>
        <v>0</v>
      </c>
      <c r="AH53" s="96"/>
      <c r="AI53" s="96"/>
      <c r="AJ53" s="96"/>
      <c r="AK53" s="181"/>
      <c r="AL53" s="97">
        <f t="shared" si="6"/>
        <v>0</v>
      </c>
      <c r="AM53" s="177"/>
      <c r="AN53" s="96"/>
      <c r="AO53" s="96"/>
      <c r="AP53" s="181"/>
      <c r="AQ53" s="97">
        <f t="shared" si="7"/>
        <v>0</v>
      </c>
      <c r="AR53" s="177"/>
      <c r="AS53" s="96"/>
      <c r="AT53" s="96"/>
      <c r="AU53" s="181"/>
      <c r="AV53" s="97">
        <f t="shared" si="14"/>
        <v>0</v>
      </c>
      <c r="AW53" s="177"/>
      <c r="AX53" s="96"/>
      <c r="AY53" s="96"/>
      <c r="AZ53" s="181"/>
      <c r="BA53" s="97">
        <f t="shared" si="8"/>
        <v>0</v>
      </c>
      <c r="BB53" s="177"/>
      <c r="BC53" s="96"/>
      <c r="BD53" s="96"/>
      <c r="BE53" s="181"/>
      <c r="BF53" s="97">
        <f t="shared" si="9"/>
        <v>0</v>
      </c>
      <c r="BG53" s="177"/>
      <c r="BH53" s="96"/>
      <c r="BI53" s="96"/>
      <c r="BJ53" s="181"/>
      <c r="BK53" s="97">
        <f t="shared" si="10"/>
        <v>0</v>
      </c>
      <c r="BL53" s="186">
        <f t="shared" si="12"/>
        <v>0</v>
      </c>
      <c r="BM53" s="155">
        <f t="shared" si="13"/>
        <v>0</v>
      </c>
      <c r="BN53" s="96"/>
      <c r="BO53" s="96"/>
      <c r="BP53" s="97"/>
      <c r="BQ53" s="20"/>
      <c r="BR53" s="20"/>
      <c r="BS53" s="20"/>
    </row>
    <row r="54" spans="1:71" x14ac:dyDescent="0.25">
      <c r="A54" s="20">
        <v>40</v>
      </c>
      <c r="B54" s="29"/>
      <c r="C54" s="20"/>
      <c r="D54" s="98"/>
      <c r="E54" s="98"/>
      <c r="F54" s="98"/>
      <c r="G54" s="98"/>
      <c r="H54" s="176">
        <f t="shared" si="0"/>
        <v>0</v>
      </c>
      <c r="I54" s="96"/>
      <c r="J54" s="96"/>
      <c r="K54" s="96"/>
      <c r="L54" s="181"/>
      <c r="M54" s="97">
        <f t="shared" si="1"/>
        <v>0</v>
      </c>
      <c r="N54" s="177"/>
      <c r="O54" s="96"/>
      <c r="P54" s="96"/>
      <c r="Q54" s="181"/>
      <c r="R54" s="97">
        <f t="shared" si="2"/>
        <v>0</v>
      </c>
      <c r="S54" s="177"/>
      <c r="T54" s="96"/>
      <c r="U54" s="96"/>
      <c r="V54" s="96"/>
      <c r="W54" s="97">
        <f t="shared" si="15"/>
        <v>0</v>
      </c>
      <c r="X54" s="96"/>
      <c r="Y54" s="96"/>
      <c r="Z54" s="96"/>
      <c r="AA54" s="96"/>
      <c r="AB54" s="97">
        <f t="shared" si="16"/>
        <v>0</v>
      </c>
      <c r="AC54" s="96"/>
      <c r="AD54" s="96"/>
      <c r="AE54" s="96"/>
      <c r="AF54" s="96"/>
      <c r="AG54" s="97">
        <f t="shared" si="17"/>
        <v>0</v>
      </c>
      <c r="AH54" s="96"/>
      <c r="AI54" s="96"/>
      <c r="AJ54" s="96"/>
      <c r="AK54" s="181"/>
      <c r="AL54" s="97">
        <f t="shared" si="6"/>
        <v>0</v>
      </c>
      <c r="AM54" s="177"/>
      <c r="AN54" s="96"/>
      <c r="AO54" s="96"/>
      <c r="AP54" s="181"/>
      <c r="AQ54" s="97">
        <f t="shared" si="7"/>
        <v>0</v>
      </c>
      <c r="AR54" s="177"/>
      <c r="AS54" s="96"/>
      <c r="AT54" s="96"/>
      <c r="AU54" s="181"/>
      <c r="AV54" s="97">
        <f t="shared" si="14"/>
        <v>0</v>
      </c>
      <c r="AW54" s="177"/>
      <c r="AX54" s="96"/>
      <c r="AY54" s="96"/>
      <c r="AZ54" s="181"/>
      <c r="BA54" s="97">
        <f t="shared" si="8"/>
        <v>0</v>
      </c>
      <c r="BB54" s="177"/>
      <c r="BC54" s="96"/>
      <c r="BD54" s="96"/>
      <c r="BE54" s="181"/>
      <c r="BF54" s="97">
        <f t="shared" si="9"/>
        <v>0</v>
      </c>
      <c r="BG54" s="177"/>
      <c r="BH54" s="96"/>
      <c r="BI54" s="96"/>
      <c r="BJ54" s="181"/>
      <c r="BK54" s="97">
        <f t="shared" si="10"/>
        <v>0</v>
      </c>
      <c r="BL54" s="186">
        <f t="shared" si="12"/>
        <v>0</v>
      </c>
      <c r="BM54" s="155">
        <f t="shared" si="13"/>
        <v>0</v>
      </c>
      <c r="BN54" s="96"/>
      <c r="BO54" s="96"/>
      <c r="BP54" s="97"/>
      <c r="BQ54" s="20"/>
      <c r="BR54" s="20"/>
      <c r="BS54" s="20"/>
    </row>
    <row r="55" spans="1:71" x14ac:dyDescent="0.25">
      <c r="A55" s="20">
        <v>41</v>
      </c>
      <c r="B55" s="99"/>
      <c r="C55" s="99"/>
      <c r="D55" s="99"/>
      <c r="E55" s="99"/>
      <c r="F55" s="99"/>
      <c r="G55" s="99"/>
      <c r="H55" s="176">
        <f t="shared" si="0"/>
        <v>0</v>
      </c>
      <c r="I55" s="96"/>
      <c r="J55" s="96"/>
      <c r="K55" s="96"/>
      <c r="L55" s="181"/>
      <c r="M55" s="97">
        <f t="shared" si="1"/>
        <v>0</v>
      </c>
      <c r="N55" s="177"/>
      <c r="O55" s="96"/>
      <c r="P55" s="96"/>
      <c r="Q55" s="181"/>
      <c r="R55" s="97">
        <f t="shared" si="2"/>
        <v>0</v>
      </c>
      <c r="S55" s="177"/>
      <c r="T55" s="96"/>
      <c r="U55" s="96"/>
      <c r="V55" s="96"/>
      <c r="W55" s="97">
        <f t="shared" si="15"/>
        <v>0</v>
      </c>
      <c r="X55" s="96"/>
      <c r="Y55" s="96"/>
      <c r="Z55" s="96"/>
      <c r="AA55" s="96"/>
      <c r="AB55" s="97">
        <f t="shared" si="16"/>
        <v>0</v>
      </c>
      <c r="AC55" s="96"/>
      <c r="AD55" s="96"/>
      <c r="AE55" s="96"/>
      <c r="AF55" s="96"/>
      <c r="AG55" s="97">
        <f t="shared" si="17"/>
        <v>0</v>
      </c>
      <c r="AH55" s="96"/>
      <c r="AI55" s="96"/>
      <c r="AJ55" s="96"/>
      <c r="AK55" s="181"/>
      <c r="AL55" s="97">
        <f t="shared" si="6"/>
        <v>0</v>
      </c>
      <c r="AM55" s="177"/>
      <c r="AN55" s="96"/>
      <c r="AO55" s="96"/>
      <c r="AP55" s="181"/>
      <c r="AQ55" s="97">
        <f t="shared" si="7"/>
        <v>0</v>
      </c>
      <c r="AR55" s="177"/>
      <c r="AS55" s="96"/>
      <c r="AT55" s="96"/>
      <c r="AU55" s="181"/>
      <c r="AV55" s="97">
        <f t="shared" si="14"/>
        <v>0</v>
      </c>
      <c r="AW55" s="177"/>
      <c r="AX55" s="96"/>
      <c r="AY55" s="96"/>
      <c r="AZ55" s="181"/>
      <c r="BA55" s="97">
        <f t="shared" si="8"/>
        <v>0</v>
      </c>
      <c r="BB55" s="177"/>
      <c r="BC55" s="96"/>
      <c r="BD55" s="96"/>
      <c r="BE55" s="181"/>
      <c r="BF55" s="97">
        <f t="shared" si="9"/>
        <v>0</v>
      </c>
      <c r="BG55" s="177"/>
      <c r="BH55" s="96"/>
      <c r="BI55" s="96"/>
      <c r="BJ55" s="181"/>
      <c r="BK55" s="97">
        <f t="shared" si="10"/>
        <v>0</v>
      </c>
      <c r="BL55" s="186">
        <f t="shared" si="12"/>
        <v>0</v>
      </c>
      <c r="BM55" s="155">
        <f t="shared" si="13"/>
        <v>0</v>
      </c>
      <c r="BN55" s="96"/>
      <c r="BO55" s="96"/>
      <c r="BP55" s="97"/>
      <c r="BQ55" s="99"/>
      <c r="BR55" s="99"/>
      <c r="BS55" s="99"/>
    </row>
    <row r="56" spans="1:71" x14ac:dyDescent="0.25">
      <c r="A56" s="20">
        <v>42</v>
      </c>
      <c r="B56" s="99"/>
      <c r="C56" s="99"/>
      <c r="D56" s="99"/>
      <c r="E56" s="99"/>
      <c r="F56" s="99"/>
      <c r="G56" s="99"/>
      <c r="H56" s="176">
        <f t="shared" si="0"/>
        <v>0</v>
      </c>
      <c r="I56" s="96"/>
      <c r="J56" s="96"/>
      <c r="K56" s="96"/>
      <c r="L56" s="181"/>
      <c r="M56" s="97">
        <f t="shared" si="1"/>
        <v>0</v>
      </c>
      <c r="N56" s="177"/>
      <c r="O56" s="96"/>
      <c r="P56" s="96"/>
      <c r="Q56" s="181"/>
      <c r="R56" s="97">
        <f t="shared" si="2"/>
        <v>0</v>
      </c>
      <c r="S56" s="177"/>
      <c r="T56" s="96"/>
      <c r="U56" s="96"/>
      <c r="V56" s="96"/>
      <c r="W56" s="97">
        <f t="shared" si="15"/>
        <v>0</v>
      </c>
      <c r="X56" s="96"/>
      <c r="Y56" s="96"/>
      <c r="Z56" s="96"/>
      <c r="AA56" s="96"/>
      <c r="AB56" s="97">
        <f t="shared" si="16"/>
        <v>0</v>
      </c>
      <c r="AC56" s="96"/>
      <c r="AD56" s="96"/>
      <c r="AE56" s="96"/>
      <c r="AF56" s="96"/>
      <c r="AG56" s="97">
        <f t="shared" si="17"/>
        <v>0</v>
      </c>
      <c r="AH56" s="96"/>
      <c r="AI56" s="96"/>
      <c r="AJ56" s="96"/>
      <c r="AK56" s="181"/>
      <c r="AL56" s="97">
        <f t="shared" si="6"/>
        <v>0</v>
      </c>
      <c r="AM56" s="177"/>
      <c r="AN56" s="96"/>
      <c r="AO56" s="96"/>
      <c r="AP56" s="181"/>
      <c r="AQ56" s="97">
        <f t="shared" si="7"/>
        <v>0</v>
      </c>
      <c r="AR56" s="177"/>
      <c r="AS56" s="96"/>
      <c r="AT56" s="96"/>
      <c r="AU56" s="181"/>
      <c r="AV56" s="97">
        <f t="shared" si="14"/>
        <v>0</v>
      </c>
      <c r="AW56" s="177"/>
      <c r="AX56" s="96"/>
      <c r="AY56" s="96"/>
      <c r="AZ56" s="181"/>
      <c r="BA56" s="97">
        <f t="shared" si="8"/>
        <v>0</v>
      </c>
      <c r="BB56" s="177"/>
      <c r="BC56" s="96"/>
      <c r="BD56" s="96"/>
      <c r="BE56" s="181"/>
      <c r="BF56" s="97">
        <f t="shared" si="9"/>
        <v>0</v>
      </c>
      <c r="BG56" s="177"/>
      <c r="BH56" s="96"/>
      <c r="BI56" s="96"/>
      <c r="BJ56" s="181"/>
      <c r="BK56" s="97">
        <f t="shared" si="10"/>
        <v>0</v>
      </c>
      <c r="BL56" s="186">
        <f t="shared" si="12"/>
        <v>0</v>
      </c>
      <c r="BM56" s="155">
        <f t="shared" si="13"/>
        <v>0</v>
      </c>
      <c r="BN56" s="96"/>
      <c r="BO56" s="96"/>
      <c r="BP56" s="97"/>
      <c r="BQ56" s="99"/>
      <c r="BR56" s="99"/>
      <c r="BS56" s="99"/>
    </row>
    <row r="57" spans="1:71" x14ac:dyDescent="0.25">
      <c r="A57" s="20">
        <v>43</v>
      </c>
      <c r="B57" s="99"/>
      <c r="C57" s="99"/>
      <c r="D57" s="99"/>
      <c r="E57" s="99"/>
      <c r="F57" s="99"/>
      <c r="G57" s="99"/>
      <c r="H57" s="176">
        <f t="shared" si="0"/>
        <v>0</v>
      </c>
      <c r="I57" s="96"/>
      <c r="J57" s="96"/>
      <c r="K57" s="96"/>
      <c r="L57" s="181"/>
      <c r="M57" s="97">
        <f t="shared" si="1"/>
        <v>0</v>
      </c>
      <c r="N57" s="177"/>
      <c r="O57" s="96"/>
      <c r="P57" s="96"/>
      <c r="Q57" s="181"/>
      <c r="R57" s="97">
        <f t="shared" si="2"/>
        <v>0</v>
      </c>
      <c r="S57" s="177"/>
      <c r="T57" s="96"/>
      <c r="U57" s="96"/>
      <c r="V57" s="96"/>
      <c r="W57" s="97">
        <f t="shared" si="15"/>
        <v>0</v>
      </c>
      <c r="X57" s="96"/>
      <c r="Y57" s="96"/>
      <c r="Z57" s="96"/>
      <c r="AA57" s="96"/>
      <c r="AB57" s="97">
        <f t="shared" si="16"/>
        <v>0</v>
      </c>
      <c r="AC57" s="96"/>
      <c r="AD57" s="96"/>
      <c r="AE57" s="96"/>
      <c r="AF57" s="96"/>
      <c r="AG57" s="97">
        <f t="shared" si="17"/>
        <v>0</v>
      </c>
      <c r="AH57" s="96"/>
      <c r="AI57" s="96"/>
      <c r="AJ57" s="96"/>
      <c r="AK57" s="181"/>
      <c r="AL57" s="97">
        <f t="shared" si="6"/>
        <v>0</v>
      </c>
      <c r="AM57" s="177"/>
      <c r="AN57" s="96"/>
      <c r="AO57" s="96"/>
      <c r="AP57" s="181"/>
      <c r="AQ57" s="97">
        <f t="shared" si="7"/>
        <v>0</v>
      </c>
      <c r="AR57" s="177"/>
      <c r="AS57" s="96"/>
      <c r="AT57" s="96"/>
      <c r="AU57" s="181"/>
      <c r="AV57" s="97">
        <f t="shared" si="14"/>
        <v>0</v>
      </c>
      <c r="AW57" s="177"/>
      <c r="AX57" s="96"/>
      <c r="AY57" s="96"/>
      <c r="AZ57" s="181"/>
      <c r="BA57" s="97">
        <f t="shared" si="8"/>
        <v>0</v>
      </c>
      <c r="BB57" s="177"/>
      <c r="BC57" s="96"/>
      <c r="BD57" s="96"/>
      <c r="BE57" s="181"/>
      <c r="BF57" s="97">
        <f t="shared" si="9"/>
        <v>0</v>
      </c>
      <c r="BG57" s="177"/>
      <c r="BH57" s="96"/>
      <c r="BI57" s="96"/>
      <c r="BJ57" s="181"/>
      <c r="BK57" s="97">
        <f t="shared" si="10"/>
        <v>0</v>
      </c>
      <c r="BL57" s="186">
        <f t="shared" si="12"/>
        <v>0</v>
      </c>
      <c r="BM57" s="155">
        <f t="shared" si="13"/>
        <v>0</v>
      </c>
      <c r="BN57" s="96"/>
      <c r="BO57" s="96"/>
      <c r="BP57" s="97"/>
      <c r="BQ57" s="99"/>
      <c r="BR57" s="99"/>
      <c r="BS57" s="99"/>
    </row>
    <row r="58" spans="1:71" x14ac:dyDescent="0.25">
      <c r="A58" s="20">
        <v>44</v>
      </c>
      <c r="B58" s="99"/>
      <c r="C58" s="99"/>
      <c r="D58" s="99"/>
      <c r="E58" s="99"/>
      <c r="F58" s="99"/>
      <c r="G58" s="99"/>
      <c r="H58" s="97">
        <f t="shared" si="0"/>
        <v>0</v>
      </c>
      <c r="I58" s="96"/>
      <c r="J58" s="96"/>
      <c r="K58" s="96"/>
      <c r="L58" s="181"/>
      <c r="M58" s="97">
        <f t="shared" si="1"/>
        <v>0</v>
      </c>
      <c r="N58" s="177"/>
      <c r="O58" s="96"/>
      <c r="P58" s="96"/>
      <c r="Q58" s="181"/>
      <c r="R58" s="97">
        <f t="shared" si="2"/>
        <v>0</v>
      </c>
      <c r="S58" s="177"/>
      <c r="T58" s="96"/>
      <c r="U58" s="96"/>
      <c r="V58" s="96"/>
      <c r="W58" s="97">
        <f t="shared" si="15"/>
        <v>0</v>
      </c>
      <c r="X58" s="96"/>
      <c r="Y58" s="96"/>
      <c r="Z58" s="96"/>
      <c r="AA58" s="96"/>
      <c r="AB58" s="97">
        <f t="shared" si="16"/>
        <v>0</v>
      </c>
      <c r="AC58" s="96"/>
      <c r="AD58" s="96"/>
      <c r="AE58" s="96"/>
      <c r="AF58" s="96"/>
      <c r="AG58" s="97">
        <f t="shared" si="17"/>
        <v>0</v>
      </c>
      <c r="AH58" s="96"/>
      <c r="AI58" s="96"/>
      <c r="AJ58" s="96"/>
      <c r="AK58" s="181"/>
      <c r="AL58" s="97">
        <f t="shared" si="6"/>
        <v>0</v>
      </c>
      <c r="AM58" s="177"/>
      <c r="AN58" s="96"/>
      <c r="AO58" s="96"/>
      <c r="AP58" s="181"/>
      <c r="AQ58" s="97">
        <f t="shared" si="7"/>
        <v>0</v>
      </c>
      <c r="AR58" s="177"/>
      <c r="AS58" s="96"/>
      <c r="AT58" s="96"/>
      <c r="AU58" s="181"/>
      <c r="AV58" s="97">
        <f t="shared" si="14"/>
        <v>0</v>
      </c>
      <c r="AW58" s="177"/>
      <c r="AX58" s="96"/>
      <c r="AY58" s="96"/>
      <c r="AZ58" s="181"/>
      <c r="BA58" s="97">
        <f t="shared" si="8"/>
        <v>0</v>
      </c>
      <c r="BB58" s="177"/>
      <c r="BC58" s="96"/>
      <c r="BD58" s="96"/>
      <c r="BE58" s="181"/>
      <c r="BF58" s="97">
        <f t="shared" si="9"/>
        <v>0</v>
      </c>
      <c r="BG58" s="177"/>
      <c r="BH58" s="96"/>
      <c r="BI58" s="96"/>
      <c r="BJ58" s="181"/>
      <c r="BK58" s="97">
        <f t="shared" si="10"/>
        <v>0</v>
      </c>
      <c r="BL58" s="186">
        <f t="shared" si="12"/>
        <v>0</v>
      </c>
      <c r="BM58" s="155">
        <f t="shared" si="13"/>
        <v>0</v>
      </c>
      <c r="BN58" s="96"/>
      <c r="BO58" s="96"/>
      <c r="BP58" s="97"/>
      <c r="BQ58" s="99"/>
      <c r="BR58" s="99"/>
      <c r="BS58" s="99"/>
    </row>
    <row r="59" spans="1:71" ht="16.5" thickBot="1" x14ac:dyDescent="0.3">
      <c r="A59" s="101">
        <v>45</v>
      </c>
      <c r="B59" s="100"/>
      <c r="C59" s="100"/>
      <c r="D59" s="100"/>
      <c r="E59" s="100"/>
      <c r="F59" s="100"/>
      <c r="G59" s="100"/>
      <c r="H59" s="175">
        <f t="shared" si="0"/>
        <v>0</v>
      </c>
      <c r="I59" s="103"/>
      <c r="J59" s="103"/>
      <c r="K59" s="103"/>
      <c r="L59" s="182"/>
      <c r="M59" s="102">
        <f t="shared" si="1"/>
        <v>0</v>
      </c>
      <c r="N59" s="184"/>
      <c r="O59" s="103"/>
      <c r="P59" s="103"/>
      <c r="Q59" s="182"/>
      <c r="R59" s="102">
        <f t="shared" si="2"/>
        <v>0</v>
      </c>
      <c r="S59" s="184"/>
      <c r="T59" s="103"/>
      <c r="U59" s="103"/>
      <c r="V59" s="103"/>
      <c r="W59" s="102">
        <f t="shared" si="15"/>
        <v>0</v>
      </c>
      <c r="X59" s="103"/>
      <c r="Y59" s="103"/>
      <c r="Z59" s="103"/>
      <c r="AA59" s="103"/>
      <c r="AB59" s="102">
        <f t="shared" si="16"/>
        <v>0</v>
      </c>
      <c r="AC59" s="103"/>
      <c r="AD59" s="103"/>
      <c r="AE59" s="103"/>
      <c r="AF59" s="103"/>
      <c r="AG59" s="102">
        <f t="shared" si="17"/>
        <v>0</v>
      </c>
      <c r="AH59" s="103"/>
      <c r="AI59" s="103"/>
      <c r="AJ59" s="103"/>
      <c r="AK59" s="182"/>
      <c r="AL59" s="102">
        <f t="shared" si="6"/>
        <v>0</v>
      </c>
      <c r="AM59" s="184"/>
      <c r="AN59" s="103"/>
      <c r="AO59" s="103"/>
      <c r="AP59" s="182"/>
      <c r="AQ59" s="102">
        <f t="shared" si="7"/>
        <v>0</v>
      </c>
      <c r="AR59" s="184"/>
      <c r="AS59" s="103"/>
      <c r="AT59" s="103"/>
      <c r="AU59" s="182"/>
      <c r="AV59" s="102">
        <f t="shared" si="14"/>
        <v>0</v>
      </c>
      <c r="AW59" s="184"/>
      <c r="AX59" s="103"/>
      <c r="AY59" s="103"/>
      <c r="AZ59" s="182"/>
      <c r="BA59" s="102">
        <f t="shared" si="8"/>
        <v>0</v>
      </c>
      <c r="BB59" s="184"/>
      <c r="BC59" s="103"/>
      <c r="BD59" s="103"/>
      <c r="BE59" s="182"/>
      <c r="BF59" s="102">
        <f t="shared" si="9"/>
        <v>0</v>
      </c>
      <c r="BG59" s="184"/>
      <c r="BH59" s="103"/>
      <c r="BI59" s="103"/>
      <c r="BJ59" s="182"/>
      <c r="BK59" s="102">
        <f t="shared" si="10"/>
        <v>0</v>
      </c>
      <c r="BL59" s="186">
        <f t="shared" si="12"/>
        <v>0</v>
      </c>
      <c r="BM59" s="155">
        <f t="shared" si="13"/>
        <v>0</v>
      </c>
      <c r="BN59" s="103"/>
      <c r="BO59" s="103"/>
      <c r="BP59" s="102"/>
      <c r="BQ59" s="100"/>
      <c r="BR59" s="100"/>
      <c r="BS59" s="100"/>
    </row>
    <row r="60" spans="1:71" x14ac:dyDescent="0.25">
      <c r="H60" s="179"/>
    </row>
  </sheetData>
  <mergeCells count="95">
    <mergeCell ref="AL13:AL14"/>
    <mergeCell ref="AH13:AH14"/>
    <mergeCell ref="AJ13:AJ14"/>
    <mergeCell ref="AK13:AK14"/>
    <mergeCell ref="AD13:AD14"/>
    <mergeCell ref="AI13:AI14"/>
    <mergeCell ref="AG13:AG14"/>
    <mergeCell ref="AE13:AE14"/>
    <mergeCell ref="AF13:AF14"/>
    <mergeCell ref="AC11:AG11"/>
    <mergeCell ref="AH11:AL11"/>
    <mergeCell ref="AM11:AQ11"/>
    <mergeCell ref="S12:W12"/>
    <mergeCell ref="X12:AB12"/>
    <mergeCell ref="AC12:AG12"/>
    <mergeCell ref="A11:A14"/>
    <mergeCell ref="B11:B14"/>
    <mergeCell ref="C11:C14"/>
    <mergeCell ref="D11:H11"/>
    <mergeCell ref="I11:M11"/>
    <mergeCell ref="D12:H12"/>
    <mergeCell ref="BQ11:BS12"/>
    <mergeCell ref="AW11:BA11"/>
    <mergeCell ref="BB11:BF11"/>
    <mergeCell ref="BG11:BK11"/>
    <mergeCell ref="AW12:BA12"/>
    <mergeCell ref="BB12:BF12"/>
    <mergeCell ref="BG12:BK12"/>
    <mergeCell ref="BL11:BL14"/>
    <mergeCell ref="BM11:BM14"/>
    <mergeCell ref="AY13:AY14"/>
    <mergeCell ref="AZ13:AZ14"/>
    <mergeCell ref="BB13:BB14"/>
    <mergeCell ref="BC13:BC14"/>
    <mergeCell ref="AX13:AX14"/>
    <mergeCell ref="AW13:AW14"/>
    <mergeCell ref="BQ13:BQ14"/>
    <mergeCell ref="AM13:AM14"/>
    <mergeCell ref="AR11:AV11"/>
    <mergeCell ref="D13:D14"/>
    <mergeCell ref="F13:F14"/>
    <mergeCell ref="G13:G14"/>
    <mergeCell ref="H13:H14"/>
    <mergeCell ref="I12:M12"/>
    <mergeCell ref="AR12:AV12"/>
    <mergeCell ref="AH12:AL12"/>
    <mergeCell ref="AM12:AQ12"/>
    <mergeCell ref="AQ13:AQ14"/>
    <mergeCell ref="U13:U14"/>
    <mergeCell ref="V13:V14"/>
    <mergeCell ref="W13:W14"/>
    <mergeCell ref="S11:W11"/>
    <mergeCell ref="X11:AB11"/>
    <mergeCell ref="R13:R14"/>
    <mergeCell ref="N13:N14"/>
    <mergeCell ref="P13:P14"/>
    <mergeCell ref="Q13:Q14"/>
    <mergeCell ref="AC13:AC14"/>
    <mergeCell ref="AB13:AB14"/>
    <mergeCell ref="X13:X14"/>
    <mergeCell ref="Z13:Z14"/>
    <mergeCell ref="AA13:AA14"/>
    <mergeCell ref="Y13:Y14"/>
    <mergeCell ref="T13:T14"/>
    <mergeCell ref="S13:S14"/>
    <mergeCell ref="AN13:AN14"/>
    <mergeCell ref="AR13:AR14"/>
    <mergeCell ref="AT13:AT14"/>
    <mergeCell ref="AU13:AU14"/>
    <mergeCell ref="AV13:AV14"/>
    <mergeCell ref="AS13:AS14"/>
    <mergeCell ref="AO13:AO14"/>
    <mergeCell ref="AP13:AP14"/>
    <mergeCell ref="BR13:BR14"/>
    <mergeCell ref="BS13:BS14"/>
    <mergeCell ref="BH13:BH14"/>
    <mergeCell ref="BI13:BI14"/>
    <mergeCell ref="BJ13:BJ14"/>
    <mergeCell ref="BK13:BK14"/>
    <mergeCell ref="BG13:BG14"/>
    <mergeCell ref="BD13:BD14"/>
    <mergeCell ref="I6:M6"/>
    <mergeCell ref="I7:M7"/>
    <mergeCell ref="E13:E14"/>
    <mergeCell ref="J13:J14"/>
    <mergeCell ref="O13:O14"/>
    <mergeCell ref="I13:I14"/>
    <mergeCell ref="K13:K14"/>
    <mergeCell ref="L13:L14"/>
    <mergeCell ref="M13:M14"/>
    <mergeCell ref="N12:R12"/>
    <mergeCell ref="N11:R11"/>
    <mergeCell ref="BE13:BE14"/>
    <mergeCell ref="BF13:BF14"/>
    <mergeCell ref="BA13:BA14"/>
  </mergeCells>
  <phoneticPr fontId="5" type="noConversion"/>
  <pageMargins left="0.7" right="0.7" top="0.75" bottom="0.75" header="0.3" footer="0.3"/>
  <pageSetup paperSize="9" scale="37" orientation="landscape" horizontalDpi="360" verticalDpi="360" r:id="rId1"/>
  <colBreaks count="1" manualBreakCount="1">
    <brk id="29" max="59"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FF"/>
  </sheetPr>
  <dimension ref="A2:F59"/>
  <sheetViews>
    <sheetView topLeftCell="A6" zoomScale="90" zoomScaleNormal="90" workbookViewId="0">
      <selection activeCell="F6" sqref="F6"/>
    </sheetView>
  </sheetViews>
  <sheetFormatPr defaultColWidth="8.75" defaultRowHeight="15.75" x14ac:dyDescent="0.25"/>
  <cols>
    <col min="1" max="1" width="4" style="1" customWidth="1"/>
    <col min="2" max="2" width="25.5" style="1" customWidth="1"/>
    <col min="3" max="3" width="10.875" style="1" customWidth="1"/>
    <col min="4" max="5" width="11.875" style="1" customWidth="1"/>
    <col min="6" max="6" width="67.5" style="1" customWidth="1"/>
    <col min="7" max="16384" width="8.75" style="1"/>
  </cols>
  <sheetData>
    <row r="2" spans="1:6" ht="25.5" x14ac:dyDescent="0.35">
      <c r="A2" s="7" t="s">
        <v>179</v>
      </c>
    </row>
    <row r="3" spans="1:6" ht="25.5" x14ac:dyDescent="0.35">
      <c r="A3" s="7" t="s">
        <v>154</v>
      </c>
    </row>
    <row r="5" spans="1:6" x14ac:dyDescent="0.25">
      <c r="B5" s="2" t="s">
        <v>169</v>
      </c>
      <c r="C5" s="14" t="str">
        <f>'LEGGER XII AKL'!C5</f>
        <v>XII AKL</v>
      </c>
      <c r="D5" s="156"/>
    </row>
    <row r="6" spans="1:6" x14ac:dyDescent="0.25">
      <c r="B6" s="2" t="s">
        <v>170</v>
      </c>
      <c r="C6" s="157">
        <f>'LEGGER XII AKL'!I5</f>
        <v>32</v>
      </c>
      <c r="D6" s="158"/>
    </row>
    <row r="7" spans="1:6" x14ac:dyDescent="0.25">
      <c r="B7" s="2" t="s">
        <v>171</v>
      </c>
      <c r="C7" s="63" t="str">
        <f>'LEGGER XII AKL'!I6</f>
        <v>Elsa Wahyuningrum, A.Md. KA.</v>
      </c>
    </row>
    <row r="8" spans="1:6" x14ac:dyDescent="0.25">
      <c r="B8" s="2" t="s">
        <v>172</v>
      </c>
      <c r="C8" s="157" t="s">
        <v>77</v>
      </c>
      <c r="D8" s="158"/>
    </row>
    <row r="9" spans="1:6" x14ac:dyDescent="0.25">
      <c r="C9" s="2"/>
    </row>
    <row r="10" spans="1:6" hidden="1" x14ac:dyDescent="0.25">
      <c r="A10" s="10">
        <v>1</v>
      </c>
      <c r="B10" s="10">
        <v>2</v>
      </c>
      <c r="C10" s="10">
        <v>3</v>
      </c>
      <c r="D10" s="10">
        <v>4</v>
      </c>
      <c r="E10" s="10">
        <v>5</v>
      </c>
      <c r="F10" s="10">
        <v>6</v>
      </c>
    </row>
    <row r="11" spans="1:6" s="9" customFormat="1" ht="19.899999999999999" customHeight="1" thickBot="1" x14ac:dyDescent="0.35"/>
    <row r="12" spans="1:6" ht="15.6" customHeight="1" x14ac:dyDescent="0.25">
      <c r="A12" s="318" t="s">
        <v>27</v>
      </c>
      <c r="B12" s="321" t="s">
        <v>28</v>
      </c>
      <c r="C12" s="321" t="s">
        <v>1</v>
      </c>
      <c r="D12" s="324" t="s">
        <v>173</v>
      </c>
      <c r="E12" s="315" t="s">
        <v>174</v>
      </c>
      <c r="F12" s="315" t="s">
        <v>175</v>
      </c>
    </row>
    <row r="13" spans="1:6" ht="15" customHeight="1" x14ac:dyDescent="0.25">
      <c r="A13" s="319"/>
      <c r="B13" s="322"/>
      <c r="C13" s="322"/>
      <c r="D13" s="325"/>
      <c r="E13" s="316"/>
      <c r="F13" s="316"/>
    </row>
    <row r="14" spans="1:6" ht="15" customHeight="1" thickBot="1" x14ac:dyDescent="0.3">
      <c r="A14" s="320"/>
      <c r="B14" s="323"/>
      <c r="C14" s="323"/>
      <c r="D14" s="326"/>
      <c r="E14" s="317"/>
      <c r="F14" s="317"/>
    </row>
    <row r="15" spans="1:6" x14ac:dyDescent="0.25">
      <c r="A15" s="44">
        <v>1</v>
      </c>
      <c r="B15" s="162" t="str">
        <f>'LEGGER XII AKL'!B15</f>
        <v>Amelia</v>
      </c>
      <c r="C15" s="163" t="str">
        <f>'LEGGER XII AKL'!C15</f>
        <v>0068552301</v>
      </c>
      <c r="D15" s="159">
        <f>'LEGGER XII AKL'!BM15</f>
        <v>85.148148148148138</v>
      </c>
      <c r="E15" s="48">
        <f>RANK(D15,D$15:D$59)</f>
        <v>32</v>
      </c>
      <c r="F15" s="160" t="s">
        <v>290</v>
      </c>
    </row>
    <row r="16" spans="1:6" x14ac:dyDescent="0.25">
      <c r="A16" s="36">
        <v>2</v>
      </c>
      <c r="B16" s="29" t="str">
        <f>'LEGGER XII AKL'!B16</f>
        <v>Chrycen Rivia Disa</v>
      </c>
      <c r="C16" s="164" t="str">
        <f>'LEGGER XII AKL'!C16</f>
        <v>0076793345</v>
      </c>
      <c r="D16" s="159">
        <f>'LEGGER XII AKL'!BM16</f>
        <v>91.925925925925924</v>
      </c>
      <c r="E16" s="48">
        <f>RANK(D16,D$15:D$59)</f>
        <v>12</v>
      </c>
      <c r="F16" s="160" t="s">
        <v>289</v>
      </c>
    </row>
    <row r="17" spans="1:6" x14ac:dyDescent="0.25">
      <c r="A17" s="36">
        <v>3</v>
      </c>
      <c r="B17" s="29" t="str">
        <f>'LEGGER XII AKL'!B17</f>
        <v>Citra Attailah</v>
      </c>
      <c r="C17" s="164" t="str">
        <f>'LEGGER XII AKL'!C17</f>
        <v>0075546309</v>
      </c>
      <c r="D17" s="159">
        <f>'LEGGER XII AKL'!BM17</f>
        <v>92.129629629629619</v>
      </c>
      <c r="E17" s="48">
        <f t="shared" ref="E17:E21" si="0">RANK(D17,D$15:D$59)</f>
        <v>11</v>
      </c>
      <c r="F17" s="160" t="s">
        <v>289</v>
      </c>
    </row>
    <row r="18" spans="1:6" x14ac:dyDescent="0.25">
      <c r="A18" s="36">
        <v>4</v>
      </c>
      <c r="B18" s="29" t="str">
        <f>'LEGGER XII AKL'!B18</f>
        <v>Dimas Setiawan</v>
      </c>
      <c r="C18" s="164" t="str">
        <f>'LEGGER XII AKL'!C18</f>
        <v>0073521089</v>
      </c>
      <c r="D18" s="159">
        <f>'LEGGER XII AKL'!BM18</f>
        <v>91.203703703703709</v>
      </c>
      <c r="E18" s="48">
        <f>RANK(D18,D$15:D$59)</f>
        <v>19</v>
      </c>
      <c r="F18" s="160" t="s">
        <v>289</v>
      </c>
    </row>
    <row r="19" spans="1:6" x14ac:dyDescent="0.25">
      <c r="A19" s="36">
        <v>5</v>
      </c>
      <c r="B19" s="29" t="str">
        <f>'LEGGER XII AKL'!B19</f>
        <v>Fadhil Ubaidillah</v>
      </c>
      <c r="C19" s="164" t="str">
        <f>'LEGGER XII AKL'!C19</f>
        <v>0063430650</v>
      </c>
      <c r="D19" s="159">
        <f>'LEGGER XII AKL'!BM19</f>
        <v>93.240740740740733</v>
      </c>
      <c r="E19" s="48">
        <f t="shared" si="0"/>
        <v>6</v>
      </c>
      <c r="F19" s="160" t="s">
        <v>288</v>
      </c>
    </row>
    <row r="20" spans="1:6" x14ac:dyDescent="0.25">
      <c r="A20" s="36">
        <v>6</v>
      </c>
      <c r="B20" s="29" t="str">
        <f>'LEGGER XII AKL'!B20</f>
        <v>Ferza Febriansyah</v>
      </c>
      <c r="C20" s="164" t="str">
        <f>'LEGGER XII AKL'!C20</f>
        <v>0071685041</v>
      </c>
      <c r="D20" s="159">
        <f>'LEGGER XII AKL'!BM20</f>
        <v>94.555555555555571</v>
      </c>
      <c r="E20" s="48">
        <f t="shared" si="0"/>
        <v>1</v>
      </c>
      <c r="F20" s="160" t="s">
        <v>287</v>
      </c>
    </row>
    <row r="21" spans="1:6" x14ac:dyDescent="0.25">
      <c r="A21" s="36">
        <v>7</v>
      </c>
      <c r="B21" s="29" t="str">
        <f>'LEGGER XII AKL'!B21</f>
        <v>Iqlimah Cahaya Mustika</v>
      </c>
      <c r="C21" s="164" t="str">
        <f>'LEGGER XII AKL'!C21</f>
        <v>0064268039</v>
      </c>
      <c r="D21" s="159">
        <f>'LEGGER XII AKL'!BM21</f>
        <v>89.074074074074076</v>
      </c>
      <c r="E21" s="48">
        <f t="shared" si="0"/>
        <v>30</v>
      </c>
      <c r="F21" s="160" t="s">
        <v>290</v>
      </c>
    </row>
    <row r="22" spans="1:6" x14ac:dyDescent="0.25">
      <c r="A22" s="36">
        <v>8</v>
      </c>
      <c r="B22" s="29" t="str">
        <f>'LEGGER XII AKL'!B22</f>
        <v>Irshal Rhama Aidillah</v>
      </c>
      <c r="C22" s="164" t="str">
        <f>'LEGGER XII AKL'!C22</f>
        <v>3074487136</v>
      </c>
      <c r="D22" s="159">
        <f>'LEGGER XII AKL'!BM22</f>
        <v>91.814814814814824</v>
      </c>
      <c r="E22" s="48">
        <f t="shared" ref="E22:E46" si="1">RANK(D22,D$15:D$59)</f>
        <v>13</v>
      </c>
      <c r="F22" s="160" t="s">
        <v>289</v>
      </c>
    </row>
    <row r="23" spans="1:6" x14ac:dyDescent="0.25">
      <c r="A23" s="36">
        <v>9</v>
      </c>
      <c r="B23" s="29" t="str">
        <f>'LEGGER XII AKL'!B23</f>
        <v>Jingga Nur Qalam</v>
      </c>
      <c r="C23" s="164" t="str">
        <f>'LEGGER XII AKL'!C23</f>
        <v>0067481076</v>
      </c>
      <c r="D23" s="159">
        <f>'LEGGER XII AKL'!BM23</f>
        <v>91.277777777777771</v>
      </c>
      <c r="E23" s="48">
        <f t="shared" si="1"/>
        <v>17</v>
      </c>
      <c r="F23" s="160" t="s">
        <v>289</v>
      </c>
    </row>
    <row r="24" spans="1:6" x14ac:dyDescent="0.25">
      <c r="A24" s="36">
        <v>10</v>
      </c>
      <c r="B24" s="29" t="str">
        <f>'LEGGER XII AKL'!B24</f>
        <v>Karina Dwi Sagita</v>
      </c>
      <c r="C24" s="164" t="str">
        <f>'LEGGER XII AKL'!C24</f>
        <v>0057659388</v>
      </c>
      <c r="D24" s="159">
        <f>'LEGGER XII AKL'!BM24</f>
        <v>89.370370370370367</v>
      </c>
      <c r="E24" s="48">
        <f t="shared" si="1"/>
        <v>29</v>
      </c>
      <c r="F24" s="160" t="s">
        <v>290</v>
      </c>
    </row>
    <row r="25" spans="1:6" x14ac:dyDescent="0.25">
      <c r="A25" s="36">
        <v>11</v>
      </c>
      <c r="B25" s="29" t="str">
        <f>'LEGGER XII AKL'!B25</f>
        <v>Larasati</v>
      </c>
      <c r="C25" s="164" t="str">
        <f>'LEGGER XII AKL'!C25</f>
        <v>3073371186</v>
      </c>
      <c r="D25" s="159">
        <f>'LEGGER XII AKL'!BM25</f>
        <v>88.8888888888889</v>
      </c>
      <c r="E25" s="48">
        <f>RANK(D25,D$15:D$59)</f>
        <v>31</v>
      </c>
      <c r="F25" s="160" t="s">
        <v>290</v>
      </c>
    </row>
    <row r="26" spans="1:6" x14ac:dyDescent="0.25">
      <c r="A26" s="36">
        <v>12</v>
      </c>
      <c r="B26" s="29" t="str">
        <f>'LEGGER XII AKL'!B26</f>
        <v>Lia Apriyani</v>
      </c>
      <c r="C26" s="164" t="str">
        <f>'LEGGER XII AKL'!C26</f>
        <v>0074403542</v>
      </c>
      <c r="D26" s="159">
        <f>'LEGGER XII AKL'!BM26</f>
        <v>91.481481481481467</v>
      </c>
      <c r="E26" s="48">
        <f t="shared" si="1"/>
        <v>16</v>
      </c>
      <c r="F26" s="160" t="s">
        <v>289</v>
      </c>
    </row>
    <row r="27" spans="1:6" x14ac:dyDescent="0.25">
      <c r="A27" s="36">
        <v>13</v>
      </c>
      <c r="B27" s="29" t="str">
        <f>'LEGGER XII AKL'!B27</f>
        <v>Lulu Amanda</v>
      </c>
      <c r="C27" s="164" t="str">
        <f>'LEGGER XII AKL'!C27</f>
        <v>0078516371</v>
      </c>
      <c r="D27" s="159">
        <f>'LEGGER XII AKL'!BM27</f>
        <v>93.259259259259267</v>
      </c>
      <c r="E27" s="48">
        <f t="shared" si="1"/>
        <v>5</v>
      </c>
      <c r="F27" s="160" t="s">
        <v>281</v>
      </c>
    </row>
    <row r="28" spans="1:6" x14ac:dyDescent="0.25">
      <c r="A28" s="36">
        <v>14</v>
      </c>
      <c r="B28" s="29" t="str">
        <f>'LEGGER XII AKL'!B28</f>
        <v>Marsella</v>
      </c>
      <c r="C28" s="164" t="str">
        <f>'LEGGER XII AKL'!C28</f>
        <v>0068435867</v>
      </c>
      <c r="D28" s="159">
        <f>'LEGGER XII AKL'!BM28</f>
        <v>89.537037037037038</v>
      </c>
      <c r="E28" s="48">
        <f t="shared" si="1"/>
        <v>28</v>
      </c>
      <c r="F28" s="160" t="s">
        <v>290</v>
      </c>
    </row>
    <row r="29" spans="1:6" x14ac:dyDescent="0.25">
      <c r="A29" s="36">
        <v>15</v>
      </c>
      <c r="B29" s="29" t="str">
        <f>'LEGGER XII AKL'!B29</f>
        <v>Monica Nuraini</v>
      </c>
      <c r="C29" s="164" t="str">
        <f>'LEGGER XII AKL'!C29</f>
        <v>3074322550</v>
      </c>
      <c r="D29" s="159">
        <f>'LEGGER XII AKL'!BM29</f>
        <v>92.796296296296291</v>
      </c>
      <c r="E29" s="48">
        <f t="shared" si="1"/>
        <v>8</v>
      </c>
      <c r="F29" s="160" t="s">
        <v>288</v>
      </c>
    </row>
    <row r="30" spans="1:6" x14ac:dyDescent="0.25">
      <c r="A30" s="36">
        <v>16</v>
      </c>
      <c r="B30" s="29" t="str">
        <f>'LEGGER XII AKL'!B30</f>
        <v>Muhammad Rafa Zaidan</v>
      </c>
      <c r="C30" s="164" t="str">
        <f>'LEGGER XII AKL'!C30</f>
        <v>0078820397</v>
      </c>
      <c r="D30" s="159">
        <f>'LEGGER XII AKL'!BM30</f>
        <v>92.18518518518519</v>
      </c>
      <c r="E30" s="48">
        <f t="shared" si="1"/>
        <v>10</v>
      </c>
      <c r="F30" s="160" t="s">
        <v>288</v>
      </c>
    </row>
    <row r="31" spans="1:6" x14ac:dyDescent="0.25">
      <c r="A31" s="36">
        <v>17</v>
      </c>
      <c r="B31" s="29" t="str">
        <f>'LEGGER XII AKL'!B31</f>
        <v>Mutia Nurhapijah</v>
      </c>
      <c r="C31" s="164" t="str">
        <f>'LEGGER XII AKL'!C31</f>
        <v>0066903308</v>
      </c>
      <c r="D31" s="159">
        <f>'LEGGER XII AKL'!BM31</f>
        <v>93.740740740740733</v>
      </c>
      <c r="E31" s="48">
        <f t="shared" si="1"/>
        <v>2</v>
      </c>
      <c r="F31" s="160" t="s">
        <v>281</v>
      </c>
    </row>
    <row r="32" spans="1:6" x14ac:dyDescent="0.25">
      <c r="A32" s="36">
        <v>18</v>
      </c>
      <c r="B32" s="29" t="str">
        <f>'LEGGER XII AKL'!B32</f>
        <v>Nayla Adristi Permata</v>
      </c>
      <c r="C32" s="164" t="str">
        <f>'LEGGER XII AKL'!C32</f>
        <v>0069309541</v>
      </c>
      <c r="D32" s="159">
        <f>'LEGGER XII AKL'!BM32</f>
        <v>91.018518518518533</v>
      </c>
      <c r="E32" s="48">
        <f t="shared" si="1"/>
        <v>21</v>
      </c>
      <c r="F32" s="160" t="s">
        <v>290</v>
      </c>
    </row>
    <row r="33" spans="1:6" x14ac:dyDescent="0.25">
      <c r="A33" s="36">
        <v>19</v>
      </c>
      <c r="B33" s="29" t="str">
        <f>'LEGGER XII AKL'!B33</f>
        <v>Nazwa Inggrid Afiah</v>
      </c>
      <c r="C33" s="164" t="str">
        <f>'LEGGER XII AKL'!C33</f>
        <v>0074899472</v>
      </c>
      <c r="D33" s="159">
        <f>'LEGGER XII AKL'!BM33</f>
        <v>90.740740740740733</v>
      </c>
      <c r="E33" s="48">
        <f t="shared" si="1"/>
        <v>23</v>
      </c>
      <c r="F33" s="160" t="s">
        <v>290</v>
      </c>
    </row>
    <row r="34" spans="1:6" x14ac:dyDescent="0.25">
      <c r="A34" s="36">
        <v>20</v>
      </c>
      <c r="B34" s="29" t="str">
        <f>'LEGGER XII AKL'!B34</f>
        <v>Nikmatuz Zakiyah</v>
      </c>
      <c r="C34" s="164" t="str">
        <f>'LEGGER XII AKL'!C34</f>
        <v>0073236952</v>
      </c>
      <c r="D34" s="159">
        <f>'LEGGER XII AKL'!BM34</f>
        <v>90.592592592592609</v>
      </c>
      <c r="E34" s="48">
        <f t="shared" si="1"/>
        <v>24</v>
      </c>
      <c r="F34" s="160" t="s">
        <v>290</v>
      </c>
    </row>
    <row r="35" spans="1:6" x14ac:dyDescent="0.25">
      <c r="A35" s="36">
        <v>21</v>
      </c>
      <c r="B35" s="29" t="str">
        <f>'LEGGER XII AKL'!B35</f>
        <v>Novia Nabila</v>
      </c>
      <c r="C35" s="164" t="str">
        <f>'LEGGER XII AKL'!C35</f>
        <v>0063211372</v>
      </c>
      <c r="D35" s="159">
        <f>'LEGGER XII AKL'!BM35</f>
        <v>90.833333333333329</v>
      </c>
      <c r="E35" s="48">
        <f t="shared" si="1"/>
        <v>22</v>
      </c>
      <c r="F35" s="160" t="s">
        <v>290</v>
      </c>
    </row>
    <row r="36" spans="1:6" x14ac:dyDescent="0.25">
      <c r="A36" s="36">
        <v>22</v>
      </c>
      <c r="B36" s="29" t="str">
        <f>'LEGGER XII AKL'!B36</f>
        <v>Rafly Ardiansyah</v>
      </c>
      <c r="C36" s="164" t="str">
        <f>'LEGGER XII AKL'!C36</f>
        <v>0058145729</v>
      </c>
      <c r="D36" s="159">
        <f>'LEGGER XII AKL'!BM36</f>
        <v>89.833333333333329</v>
      </c>
      <c r="E36" s="48">
        <f t="shared" si="1"/>
        <v>27</v>
      </c>
      <c r="F36" s="160" t="s">
        <v>290</v>
      </c>
    </row>
    <row r="37" spans="1:6" x14ac:dyDescent="0.25">
      <c r="A37" s="36">
        <v>23</v>
      </c>
      <c r="B37" s="29" t="str">
        <f>'LEGGER XII AKL'!B37</f>
        <v>Ratu Ramadhania</v>
      </c>
      <c r="C37" s="164" t="str">
        <f>'LEGGER XII AKL'!C37</f>
        <v>0069672011</v>
      </c>
      <c r="D37" s="159">
        <f>'LEGGER XII AKL'!BM37</f>
        <v>91.240740740740748</v>
      </c>
      <c r="E37" s="48">
        <f t="shared" si="1"/>
        <v>18</v>
      </c>
      <c r="F37" s="160" t="s">
        <v>289</v>
      </c>
    </row>
    <row r="38" spans="1:6" x14ac:dyDescent="0.25">
      <c r="A38" s="36">
        <v>24</v>
      </c>
      <c r="B38" s="29" t="str">
        <f>'LEGGER XII AKL'!B38</f>
        <v>Rizky Intan Fahrani</v>
      </c>
      <c r="C38" s="164" t="str">
        <f>'LEGGER XII AKL'!C38</f>
        <v>3075648832</v>
      </c>
      <c r="D38" s="159">
        <f>'LEGGER XII AKL'!BM38</f>
        <v>93.055555555555557</v>
      </c>
      <c r="E38" s="48">
        <f t="shared" si="1"/>
        <v>7</v>
      </c>
      <c r="F38" s="160" t="s">
        <v>288</v>
      </c>
    </row>
    <row r="39" spans="1:6" x14ac:dyDescent="0.25">
      <c r="A39" s="36">
        <v>25</v>
      </c>
      <c r="B39" s="29" t="str">
        <f>'LEGGER XII AKL'!B39</f>
        <v>Salwa Fatimah Az-Zahra</v>
      </c>
      <c r="C39" s="164" t="str">
        <f>'LEGGER XII AKL'!C39</f>
        <v>0071228586</v>
      </c>
      <c r="D39" s="159">
        <f>'LEGGER XII AKL'!BM39</f>
        <v>90.370370370370367</v>
      </c>
      <c r="E39" s="48">
        <f t="shared" si="1"/>
        <v>25</v>
      </c>
      <c r="F39" s="160" t="s">
        <v>290</v>
      </c>
    </row>
    <row r="40" spans="1:6" x14ac:dyDescent="0.25">
      <c r="A40" s="36">
        <v>26</v>
      </c>
      <c r="B40" s="29" t="str">
        <f>'LEGGER XII AKL'!B40</f>
        <v>Salwa Salsabila</v>
      </c>
      <c r="C40" s="164" t="str">
        <f>'LEGGER XII AKL'!C40</f>
        <v>0066383402</v>
      </c>
      <c r="D40" s="159">
        <f>'LEGGER XII AKL'!BM40</f>
        <v>91.148148148148152</v>
      </c>
      <c r="E40" s="48">
        <f t="shared" si="1"/>
        <v>20</v>
      </c>
      <c r="F40" s="160" t="s">
        <v>289</v>
      </c>
    </row>
    <row r="41" spans="1:6" x14ac:dyDescent="0.25">
      <c r="A41" s="36">
        <v>27</v>
      </c>
      <c r="B41" s="29" t="str">
        <f>'LEGGER XII AKL'!B41</f>
        <v>Shalsabila Lesmana</v>
      </c>
      <c r="C41" s="164" t="str">
        <f>'LEGGER XII AKL'!C41</f>
        <v>0065632276</v>
      </c>
      <c r="D41" s="159">
        <f>'LEGGER XII AKL'!BM41</f>
        <v>91.574074074074076</v>
      </c>
      <c r="E41" s="48">
        <f t="shared" si="1"/>
        <v>14</v>
      </c>
      <c r="F41" s="160" t="s">
        <v>289</v>
      </c>
    </row>
    <row r="42" spans="1:6" x14ac:dyDescent="0.25">
      <c r="A42" s="36">
        <v>28</v>
      </c>
      <c r="B42" s="29" t="str">
        <f>'LEGGER XII AKL'!B42</f>
        <v>Siti Mutia Hanna</v>
      </c>
      <c r="C42" s="164" t="str">
        <f>'LEGGER XII AKL'!C42</f>
        <v>0062588903</v>
      </c>
      <c r="D42" s="159">
        <f>'LEGGER XII AKL'!BM42</f>
        <v>93.3888888888889</v>
      </c>
      <c r="E42" s="48">
        <f t="shared" si="1"/>
        <v>3</v>
      </c>
      <c r="F42" s="160" t="s">
        <v>281</v>
      </c>
    </row>
    <row r="43" spans="1:6" x14ac:dyDescent="0.25">
      <c r="A43" s="36">
        <v>29</v>
      </c>
      <c r="B43" s="29" t="str">
        <f>'LEGGER XII AKL'!B43</f>
        <v>Syafira Andhini Endah Muejiawati</v>
      </c>
      <c r="C43" s="164" t="str">
        <f>'LEGGER XII AKL'!C43</f>
        <v>0077798543</v>
      </c>
      <c r="D43" s="159">
        <f>'LEGGER XII AKL'!BM43</f>
        <v>93.351851851851862</v>
      </c>
      <c r="E43" s="48">
        <f t="shared" si="1"/>
        <v>4</v>
      </c>
      <c r="F43" s="160" t="s">
        <v>281</v>
      </c>
    </row>
    <row r="44" spans="1:6" x14ac:dyDescent="0.25">
      <c r="A44" s="36">
        <v>30</v>
      </c>
      <c r="B44" s="29" t="str">
        <f>'LEGGER XII AKL'!B44</f>
        <v>Thoriq Ahmad Muzafran</v>
      </c>
      <c r="C44" s="164" t="str">
        <f>'LEGGER XII AKL'!C44</f>
        <v>3054086042</v>
      </c>
      <c r="D44" s="159">
        <f>'LEGGER XII AKL'!BM44</f>
        <v>92.740740740740733</v>
      </c>
      <c r="E44" s="48">
        <f t="shared" si="1"/>
        <v>9</v>
      </c>
      <c r="F44" s="160" t="s">
        <v>288</v>
      </c>
    </row>
    <row r="45" spans="1:6" x14ac:dyDescent="0.25">
      <c r="A45" s="36">
        <v>31</v>
      </c>
      <c r="B45" s="29" t="str">
        <f>'LEGGER XII AKL'!B45</f>
        <v>Vadyllah Zhara</v>
      </c>
      <c r="C45" s="164" t="str">
        <f>'LEGGER XII AKL'!C45</f>
        <v>0078314869</v>
      </c>
      <c r="D45" s="159">
        <f>'LEGGER XII AKL'!BM45</f>
        <v>89.962962962962962</v>
      </c>
      <c r="E45" s="48">
        <f t="shared" si="1"/>
        <v>26</v>
      </c>
      <c r="F45" s="160" t="s">
        <v>290</v>
      </c>
    </row>
    <row r="46" spans="1:6" x14ac:dyDescent="0.25">
      <c r="A46" s="36">
        <v>32</v>
      </c>
      <c r="B46" s="29" t="str">
        <f>'LEGGER XII AKL'!B46</f>
        <v>Zafira Raysa Umar</v>
      </c>
      <c r="C46" s="164" t="str">
        <f>'LEGGER XII AKL'!C46</f>
        <v>0073130066</v>
      </c>
      <c r="D46" s="159">
        <f>'LEGGER XII AKL'!BM46</f>
        <v>91.5</v>
      </c>
      <c r="E46" s="48">
        <f t="shared" si="1"/>
        <v>15</v>
      </c>
      <c r="F46" s="160" t="s">
        <v>289</v>
      </c>
    </row>
    <row r="47" spans="1:6" x14ac:dyDescent="0.25">
      <c r="A47" s="36">
        <v>33</v>
      </c>
      <c r="B47" s="29">
        <f>'LEGGER XII AKL'!B47</f>
        <v>0</v>
      </c>
      <c r="C47" s="164">
        <f>'LEGGER XII AKL'!C47</f>
        <v>0</v>
      </c>
      <c r="D47" s="159">
        <f>'LEGGER XII AKL'!BM47</f>
        <v>0</v>
      </c>
      <c r="E47" s="48"/>
      <c r="F47" s="160"/>
    </row>
    <row r="48" spans="1:6" x14ac:dyDescent="0.25">
      <c r="A48" s="36">
        <v>34</v>
      </c>
      <c r="B48" s="29">
        <f>'LEGGER XII AKL'!B48</f>
        <v>0</v>
      </c>
      <c r="C48" s="164">
        <f>'LEGGER XII AKL'!C48</f>
        <v>0</v>
      </c>
      <c r="D48" s="159">
        <f>'LEGGER XII AKL'!BM48</f>
        <v>0</v>
      </c>
      <c r="E48" s="48"/>
      <c r="F48" s="160"/>
    </row>
    <row r="49" spans="1:6" x14ac:dyDescent="0.25">
      <c r="A49" s="36">
        <v>35</v>
      </c>
      <c r="B49" s="29">
        <f>'LEGGER XII AKL'!B49</f>
        <v>0</v>
      </c>
      <c r="C49" s="164">
        <f>'LEGGER XII AKL'!C49</f>
        <v>0</v>
      </c>
      <c r="D49" s="159">
        <f>'LEGGER XII AKL'!BM49</f>
        <v>0</v>
      </c>
      <c r="E49" s="48"/>
      <c r="F49" s="160"/>
    </row>
    <row r="50" spans="1:6" x14ac:dyDescent="0.25">
      <c r="A50" s="36">
        <v>36</v>
      </c>
      <c r="B50" s="29">
        <f>'LEGGER XII AKL'!B50</f>
        <v>0</v>
      </c>
      <c r="C50" s="164">
        <f>'LEGGER XII AKL'!C50</f>
        <v>0</v>
      </c>
      <c r="D50" s="159">
        <f>'LEGGER XII AKL'!BM50</f>
        <v>0</v>
      </c>
      <c r="E50" s="48"/>
      <c r="F50" s="160"/>
    </row>
    <row r="51" spans="1:6" x14ac:dyDescent="0.25">
      <c r="A51" s="36">
        <v>37</v>
      </c>
      <c r="B51" s="29">
        <f>'LEGGER XII AKL'!B51</f>
        <v>0</v>
      </c>
      <c r="C51" s="164">
        <f>'LEGGER XII AKL'!C51</f>
        <v>0</v>
      </c>
      <c r="D51" s="159">
        <f>'LEGGER XII AKL'!BM51</f>
        <v>0</v>
      </c>
      <c r="E51" s="48"/>
      <c r="F51" s="160"/>
    </row>
    <row r="52" spans="1:6" x14ac:dyDescent="0.25">
      <c r="A52" s="36">
        <v>38</v>
      </c>
      <c r="B52" s="29">
        <f>'LEGGER XII AKL'!B52</f>
        <v>0</v>
      </c>
      <c r="C52" s="164">
        <f>'LEGGER XII AKL'!C52</f>
        <v>0</v>
      </c>
      <c r="D52" s="159">
        <f>'LEGGER XII AKL'!BM52</f>
        <v>0</v>
      </c>
      <c r="E52" s="48"/>
      <c r="F52" s="160"/>
    </row>
    <row r="53" spans="1:6" x14ac:dyDescent="0.25">
      <c r="A53" s="36">
        <v>39</v>
      </c>
      <c r="B53" s="29">
        <f>'LEGGER XII AKL'!B53</f>
        <v>0</v>
      </c>
      <c r="C53" s="164">
        <f>'LEGGER XII AKL'!C53</f>
        <v>0</v>
      </c>
      <c r="D53" s="159">
        <f>'LEGGER XII AKL'!BM53</f>
        <v>0</v>
      </c>
      <c r="E53" s="48"/>
      <c r="F53" s="160"/>
    </row>
    <row r="54" spans="1:6" x14ac:dyDescent="0.25">
      <c r="A54" s="36">
        <v>40</v>
      </c>
      <c r="B54" s="29">
        <f>'LEGGER XII AKL'!B54</f>
        <v>0</v>
      </c>
      <c r="C54" s="164">
        <f>'LEGGER XII AKL'!C54</f>
        <v>0</v>
      </c>
      <c r="D54" s="159">
        <f>'LEGGER XII AKL'!BM54</f>
        <v>0</v>
      </c>
      <c r="E54" s="48"/>
      <c r="F54" s="160"/>
    </row>
    <row r="55" spans="1:6" x14ac:dyDescent="0.25">
      <c r="A55" s="36">
        <v>41</v>
      </c>
      <c r="B55" s="29">
        <f>'LEGGER XII AKL'!B55</f>
        <v>0</v>
      </c>
      <c r="C55" s="164">
        <f>'LEGGER XII AKL'!C55</f>
        <v>0</v>
      </c>
      <c r="D55" s="159">
        <f>'LEGGER XII AKL'!BM55</f>
        <v>0</v>
      </c>
      <c r="E55" s="48"/>
      <c r="F55" s="160"/>
    </row>
    <row r="56" spans="1:6" x14ac:dyDescent="0.25">
      <c r="A56" s="36">
        <v>42</v>
      </c>
      <c r="B56" s="29">
        <f>'LEGGER XII AKL'!B56</f>
        <v>0</v>
      </c>
      <c r="C56" s="164">
        <f>'LEGGER XII AKL'!C56</f>
        <v>0</v>
      </c>
      <c r="D56" s="159">
        <f>'LEGGER XII AKL'!BM56</f>
        <v>0</v>
      </c>
      <c r="E56" s="48"/>
      <c r="F56" s="160"/>
    </row>
    <row r="57" spans="1:6" x14ac:dyDescent="0.25">
      <c r="A57" s="36">
        <v>43</v>
      </c>
      <c r="B57" s="29">
        <f>'LEGGER XII AKL'!B57</f>
        <v>0</v>
      </c>
      <c r="C57" s="164">
        <f>'LEGGER XII AKL'!C57</f>
        <v>0</v>
      </c>
      <c r="D57" s="159">
        <f>'LEGGER XII AKL'!BM57</f>
        <v>0</v>
      </c>
      <c r="E57" s="48"/>
      <c r="F57" s="160"/>
    </row>
    <row r="58" spans="1:6" x14ac:dyDescent="0.25">
      <c r="A58" s="36">
        <v>44</v>
      </c>
      <c r="B58" s="29">
        <f>'LEGGER XII AKL'!B58</f>
        <v>0</v>
      </c>
      <c r="C58" s="164">
        <f>'LEGGER XII AKL'!C58</f>
        <v>0</v>
      </c>
      <c r="D58" s="159">
        <f>'LEGGER XII AKL'!BM58</f>
        <v>0</v>
      </c>
      <c r="E58" s="48"/>
      <c r="F58" s="160"/>
    </row>
    <row r="59" spans="1:6" ht="16.5" thickBot="1" x14ac:dyDescent="0.3">
      <c r="A59" s="22">
        <v>45</v>
      </c>
      <c r="B59" s="29">
        <f>'LEGGER XII AKL'!B59</f>
        <v>0</v>
      </c>
      <c r="C59" s="164">
        <f>'LEGGER XII AKL'!C59</f>
        <v>0</v>
      </c>
      <c r="D59" s="159">
        <f>'LEGGER XII AKL'!BM59</f>
        <v>0</v>
      </c>
      <c r="E59" s="48"/>
      <c r="F59" s="161"/>
    </row>
  </sheetData>
  <mergeCells count="6">
    <mergeCell ref="F12:F14"/>
    <mergeCell ref="A12:A14"/>
    <mergeCell ref="B12:B14"/>
    <mergeCell ref="C12:C14"/>
    <mergeCell ref="D12:D14"/>
    <mergeCell ref="E12:E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7030A0"/>
  </sheetPr>
  <dimension ref="A2:O65"/>
  <sheetViews>
    <sheetView zoomScaleNormal="100" workbookViewId="0">
      <selection activeCell="A3" sqref="A3"/>
    </sheetView>
  </sheetViews>
  <sheetFormatPr defaultColWidth="8.75" defaultRowHeight="15.75" x14ac:dyDescent="0.25"/>
  <cols>
    <col min="1" max="1" width="4" style="1" customWidth="1"/>
    <col min="2" max="2" width="27.5" style="1" customWidth="1"/>
    <col min="3" max="3" width="14.375" style="1" customWidth="1"/>
    <col min="4" max="15" width="15.5" style="1" customWidth="1"/>
    <col min="16" max="16384" width="8.75" style="1"/>
  </cols>
  <sheetData>
    <row r="2" spans="1:15" ht="25.5" x14ac:dyDescent="0.35">
      <c r="A2" s="7" t="s">
        <v>82</v>
      </c>
    </row>
    <row r="3" spans="1:15" ht="25.5" x14ac:dyDescent="0.35">
      <c r="A3" s="7" t="s">
        <v>92</v>
      </c>
    </row>
    <row r="4" spans="1:15" ht="25.5" x14ac:dyDescent="0.35">
      <c r="A4" s="7" t="s">
        <v>7</v>
      </c>
    </row>
    <row r="6" spans="1:15" x14ac:dyDescent="0.25">
      <c r="B6" s="2" t="s">
        <v>78</v>
      </c>
      <c r="C6" s="14" t="str">
        <f>'LEGGER XII AKL'!C6</f>
        <v>1 (SATU)</v>
      </c>
      <c r="D6" s="8"/>
      <c r="E6" s="8"/>
      <c r="F6" s="8"/>
    </row>
    <row r="7" spans="1:15" x14ac:dyDescent="0.25">
      <c r="B7" s="2" t="s">
        <v>79</v>
      </c>
      <c r="C7" s="14" t="str">
        <f>'LEGGER XII AKL'!C7</f>
        <v>2024 /2025</v>
      </c>
      <c r="D7" s="8"/>
      <c r="E7" s="8"/>
      <c r="F7" s="8"/>
    </row>
    <row r="8" spans="1:15" x14ac:dyDescent="0.25">
      <c r="B8" s="2" t="s">
        <v>80</v>
      </c>
      <c r="C8" s="14" t="str">
        <f>'LEGGER XII AKL'!I6</f>
        <v>Elsa Wahyuningrum, A.Md. KA.</v>
      </c>
      <c r="D8" s="8"/>
      <c r="E8" s="8"/>
      <c r="F8" s="8"/>
    </row>
    <row r="9" spans="1:15" x14ac:dyDescent="0.25">
      <c r="B9" s="2" t="s">
        <v>81</v>
      </c>
      <c r="C9" s="14" t="str">
        <f>'LEGGER XII AKL'!I7</f>
        <v>-</v>
      </c>
      <c r="D9" s="8"/>
      <c r="E9" s="8"/>
      <c r="F9" s="8"/>
    </row>
    <row r="10" spans="1:15" x14ac:dyDescent="0.25">
      <c r="C10" s="2"/>
      <c r="D10" s="8"/>
      <c r="E10" s="8"/>
      <c r="F10" s="8"/>
    </row>
    <row r="11" spans="1:15" hidden="1" x14ac:dyDescent="0.25">
      <c r="A11" s="10">
        <v>1</v>
      </c>
      <c r="B11" s="10">
        <v>2</v>
      </c>
      <c r="C11" s="10">
        <v>3</v>
      </c>
      <c r="D11" s="10">
        <v>4</v>
      </c>
      <c r="E11" s="10">
        <v>5</v>
      </c>
      <c r="F11" s="10">
        <v>6</v>
      </c>
      <c r="G11" s="10">
        <v>7</v>
      </c>
      <c r="H11" s="10">
        <v>8</v>
      </c>
      <c r="I11" s="10">
        <v>9</v>
      </c>
      <c r="J11" s="10">
        <v>10</v>
      </c>
      <c r="K11" s="10">
        <v>11</v>
      </c>
      <c r="L11" s="10">
        <v>12</v>
      </c>
      <c r="M11" s="10">
        <v>13</v>
      </c>
      <c r="N11" s="10">
        <v>14</v>
      </c>
      <c r="O11" s="10">
        <v>15</v>
      </c>
    </row>
    <row r="12" spans="1:15" s="9" customFormat="1" ht="19.899999999999999" customHeight="1" thickBot="1" x14ac:dyDescent="0.35"/>
    <row r="13" spans="1:15" ht="15.6" customHeight="1" thickBot="1" x14ac:dyDescent="0.3">
      <c r="A13" s="318" t="s">
        <v>27</v>
      </c>
      <c r="B13" s="321" t="s">
        <v>28</v>
      </c>
      <c r="C13" s="321" t="s">
        <v>1</v>
      </c>
      <c r="D13" s="327" t="s">
        <v>74</v>
      </c>
      <c r="E13" s="328"/>
      <c r="F13" s="328"/>
      <c r="G13" s="328"/>
      <c r="H13" s="328"/>
      <c r="I13" s="328"/>
      <c r="J13" s="328"/>
      <c r="K13" s="328"/>
      <c r="L13" s="328"/>
      <c r="M13" s="328"/>
      <c r="N13" s="328"/>
      <c r="O13" s="329"/>
    </row>
    <row r="14" spans="1:15" ht="15" customHeight="1" thickBot="1" x14ac:dyDescent="0.3">
      <c r="A14" s="319"/>
      <c r="B14" s="322"/>
      <c r="C14" s="322"/>
      <c r="D14" s="330" t="s">
        <v>47</v>
      </c>
      <c r="E14" s="331"/>
      <c r="F14" s="331"/>
      <c r="G14" s="332"/>
      <c r="H14" s="330" t="s">
        <v>48</v>
      </c>
      <c r="I14" s="331"/>
      <c r="J14" s="331"/>
      <c r="K14" s="332"/>
      <c r="L14" s="330" t="s">
        <v>49</v>
      </c>
      <c r="M14" s="331"/>
      <c r="N14" s="331"/>
      <c r="O14" s="332"/>
    </row>
    <row r="15" spans="1:15" ht="15" customHeight="1" thickBot="1" x14ac:dyDescent="0.3">
      <c r="A15" s="320"/>
      <c r="B15" s="323"/>
      <c r="C15" s="323"/>
      <c r="D15" s="61" t="s">
        <v>35</v>
      </c>
      <c r="E15" s="53" t="s">
        <v>36</v>
      </c>
      <c r="F15" s="53" t="s">
        <v>37</v>
      </c>
      <c r="G15" s="56" t="s">
        <v>38</v>
      </c>
      <c r="H15" s="55" t="s">
        <v>39</v>
      </c>
      <c r="I15" s="53" t="s">
        <v>40</v>
      </c>
      <c r="J15" s="53" t="s">
        <v>41</v>
      </c>
      <c r="K15" s="56" t="s">
        <v>42</v>
      </c>
      <c r="L15" s="55" t="s">
        <v>43</v>
      </c>
      <c r="M15" s="53" t="s">
        <v>44</v>
      </c>
      <c r="N15" s="53" t="s">
        <v>45</v>
      </c>
      <c r="O15" s="56" t="s">
        <v>46</v>
      </c>
    </row>
    <row r="16" spans="1:15" x14ac:dyDescent="0.25">
      <c r="A16" s="44">
        <v>1</v>
      </c>
      <c r="B16" s="45" t="str">
        <f>'LEGGER XII AKL'!B15</f>
        <v>Amelia</v>
      </c>
      <c r="C16" s="46" t="str">
        <f>'LEGGER XII AKL'!C15</f>
        <v>0068552301</v>
      </c>
      <c r="D16" s="60" t="s">
        <v>77</v>
      </c>
      <c r="E16" s="48" t="s">
        <v>77</v>
      </c>
      <c r="F16" s="48" t="s">
        <v>77</v>
      </c>
      <c r="G16" s="51" t="s">
        <v>77</v>
      </c>
      <c r="H16" s="50" t="s">
        <v>77</v>
      </c>
      <c r="I16" s="48" t="s">
        <v>77</v>
      </c>
      <c r="J16" s="48" t="s">
        <v>77</v>
      </c>
      <c r="K16" s="51" t="s">
        <v>77</v>
      </c>
      <c r="L16" s="50" t="s">
        <v>77</v>
      </c>
      <c r="M16" s="48" t="s">
        <v>77</v>
      </c>
      <c r="N16" s="48" t="s">
        <v>77</v>
      </c>
      <c r="O16" s="51" t="s">
        <v>77</v>
      </c>
    </row>
    <row r="17" spans="1:15" x14ac:dyDescent="0.25">
      <c r="A17" s="36">
        <v>2</v>
      </c>
      <c r="B17" s="29" t="str">
        <f>'LEGGER XII AKL'!B16</f>
        <v>Chrycen Rivia Disa</v>
      </c>
      <c r="C17" s="30" t="str">
        <f>'LEGGER XII AKL'!C16</f>
        <v>0076793345</v>
      </c>
      <c r="D17" s="40" t="s">
        <v>77</v>
      </c>
      <c r="E17" s="17" t="s">
        <v>77</v>
      </c>
      <c r="F17" s="17" t="s">
        <v>77</v>
      </c>
      <c r="G17" s="42" t="s">
        <v>77</v>
      </c>
      <c r="H17" s="34" t="s">
        <v>77</v>
      </c>
      <c r="I17" s="17" t="s">
        <v>77</v>
      </c>
      <c r="J17" s="17" t="s">
        <v>77</v>
      </c>
      <c r="K17" s="42" t="s">
        <v>77</v>
      </c>
      <c r="L17" s="34" t="s">
        <v>77</v>
      </c>
      <c r="M17" s="17" t="s">
        <v>77</v>
      </c>
      <c r="N17" s="17" t="s">
        <v>77</v>
      </c>
      <c r="O17" s="42" t="s">
        <v>77</v>
      </c>
    </row>
    <row r="18" spans="1:15" x14ac:dyDescent="0.25">
      <c r="A18" s="36">
        <v>3</v>
      </c>
      <c r="B18" s="29" t="str">
        <f>'LEGGER XII AKL'!B17</f>
        <v>Citra Attailah</v>
      </c>
      <c r="C18" s="30" t="str">
        <f>'LEGGER XII AKL'!C17</f>
        <v>0075546309</v>
      </c>
      <c r="D18" s="40" t="s">
        <v>77</v>
      </c>
      <c r="E18" s="17" t="s">
        <v>77</v>
      </c>
      <c r="F18" s="17" t="s">
        <v>77</v>
      </c>
      <c r="G18" s="42" t="s">
        <v>77</v>
      </c>
      <c r="H18" s="34" t="s">
        <v>77</v>
      </c>
      <c r="I18" s="17" t="s">
        <v>77</v>
      </c>
      <c r="J18" s="17" t="s">
        <v>77</v>
      </c>
      <c r="K18" s="42" t="s">
        <v>77</v>
      </c>
      <c r="L18" s="34" t="s">
        <v>77</v>
      </c>
      <c r="M18" s="17" t="s">
        <v>77</v>
      </c>
      <c r="N18" s="17" t="s">
        <v>77</v>
      </c>
      <c r="O18" s="42" t="s">
        <v>77</v>
      </c>
    </row>
    <row r="19" spans="1:15" x14ac:dyDescent="0.25">
      <c r="A19" s="36">
        <v>4</v>
      </c>
      <c r="B19" s="29" t="str">
        <f>'LEGGER XII AKL'!B18</f>
        <v>Dimas Setiawan</v>
      </c>
      <c r="C19" s="30" t="str">
        <f>'LEGGER XII AKL'!C18</f>
        <v>0073521089</v>
      </c>
      <c r="D19" s="40" t="s">
        <v>77</v>
      </c>
      <c r="E19" s="17" t="s">
        <v>77</v>
      </c>
      <c r="F19" s="17" t="s">
        <v>77</v>
      </c>
      <c r="G19" s="42" t="s">
        <v>77</v>
      </c>
      <c r="H19" s="34" t="s">
        <v>77</v>
      </c>
      <c r="I19" s="17" t="s">
        <v>77</v>
      </c>
      <c r="J19" s="17" t="s">
        <v>77</v>
      </c>
      <c r="K19" s="42" t="s">
        <v>77</v>
      </c>
      <c r="L19" s="34" t="s">
        <v>77</v>
      </c>
      <c r="M19" s="17" t="s">
        <v>77</v>
      </c>
      <c r="N19" s="17" t="s">
        <v>77</v>
      </c>
      <c r="O19" s="42" t="s">
        <v>77</v>
      </c>
    </row>
    <row r="20" spans="1:15" x14ac:dyDescent="0.25">
      <c r="A20" s="36">
        <v>5</v>
      </c>
      <c r="B20" s="29" t="str">
        <f>'LEGGER XII AKL'!B19</f>
        <v>Fadhil Ubaidillah</v>
      </c>
      <c r="C20" s="30" t="str">
        <f>'LEGGER XII AKL'!C19</f>
        <v>0063430650</v>
      </c>
      <c r="D20" s="40" t="s">
        <v>77</v>
      </c>
      <c r="E20" s="17" t="s">
        <v>77</v>
      </c>
      <c r="F20" s="17" t="s">
        <v>77</v>
      </c>
      <c r="G20" s="42" t="s">
        <v>77</v>
      </c>
      <c r="H20" s="34" t="s">
        <v>77</v>
      </c>
      <c r="I20" s="17" t="s">
        <v>77</v>
      </c>
      <c r="J20" s="17" t="s">
        <v>77</v>
      </c>
      <c r="K20" s="42" t="s">
        <v>77</v>
      </c>
      <c r="L20" s="34" t="s">
        <v>77</v>
      </c>
      <c r="M20" s="17" t="s">
        <v>77</v>
      </c>
      <c r="N20" s="17" t="s">
        <v>77</v>
      </c>
      <c r="O20" s="42" t="s">
        <v>77</v>
      </c>
    </row>
    <row r="21" spans="1:15" x14ac:dyDescent="0.25">
      <c r="A21" s="36">
        <v>6</v>
      </c>
      <c r="B21" s="29" t="str">
        <f>'LEGGER XII AKL'!B20</f>
        <v>Ferza Febriansyah</v>
      </c>
      <c r="C21" s="30" t="str">
        <f>'LEGGER XII AKL'!C20</f>
        <v>0071685041</v>
      </c>
      <c r="D21" s="40" t="s">
        <v>77</v>
      </c>
      <c r="E21" s="17" t="s">
        <v>77</v>
      </c>
      <c r="F21" s="17" t="s">
        <v>77</v>
      </c>
      <c r="G21" s="42" t="s">
        <v>77</v>
      </c>
      <c r="H21" s="34" t="s">
        <v>77</v>
      </c>
      <c r="I21" s="17" t="s">
        <v>77</v>
      </c>
      <c r="J21" s="17" t="s">
        <v>77</v>
      </c>
      <c r="K21" s="42" t="s">
        <v>77</v>
      </c>
      <c r="L21" s="34" t="s">
        <v>77</v>
      </c>
      <c r="M21" s="17" t="s">
        <v>77</v>
      </c>
      <c r="N21" s="17" t="s">
        <v>77</v>
      </c>
      <c r="O21" s="42" t="s">
        <v>77</v>
      </c>
    </row>
    <row r="22" spans="1:15" x14ac:dyDescent="0.25">
      <c r="A22" s="36">
        <v>7</v>
      </c>
      <c r="B22" s="29" t="str">
        <f>'LEGGER XII AKL'!B21</f>
        <v>Iqlimah Cahaya Mustika</v>
      </c>
      <c r="C22" s="30" t="str">
        <f>'LEGGER XII AKL'!C21</f>
        <v>0064268039</v>
      </c>
      <c r="D22" s="40" t="s">
        <v>77</v>
      </c>
      <c r="E22" s="17" t="s">
        <v>77</v>
      </c>
      <c r="F22" s="17" t="s">
        <v>77</v>
      </c>
      <c r="G22" s="42" t="s">
        <v>77</v>
      </c>
      <c r="H22" s="34" t="s">
        <v>77</v>
      </c>
      <c r="I22" s="17" t="s">
        <v>77</v>
      </c>
      <c r="J22" s="17" t="s">
        <v>77</v>
      </c>
      <c r="K22" s="42" t="s">
        <v>77</v>
      </c>
      <c r="L22" s="34" t="s">
        <v>77</v>
      </c>
      <c r="M22" s="17" t="s">
        <v>77</v>
      </c>
      <c r="N22" s="17" t="s">
        <v>77</v>
      </c>
      <c r="O22" s="42" t="s">
        <v>77</v>
      </c>
    </row>
    <row r="23" spans="1:15" x14ac:dyDescent="0.25">
      <c r="A23" s="36">
        <v>8</v>
      </c>
      <c r="B23" s="29" t="str">
        <f>'LEGGER XII AKL'!B22</f>
        <v>Irshal Rhama Aidillah</v>
      </c>
      <c r="C23" s="30" t="str">
        <f>'LEGGER XII AKL'!C22</f>
        <v>3074487136</v>
      </c>
      <c r="D23" s="40" t="s">
        <v>77</v>
      </c>
      <c r="E23" s="17" t="s">
        <v>77</v>
      </c>
      <c r="F23" s="17" t="s">
        <v>77</v>
      </c>
      <c r="G23" s="42" t="s">
        <v>77</v>
      </c>
      <c r="H23" s="34" t="s">
        <v>77</v>
      </c>
      <c r="I23" s="17" t="s">
        <v>77</v>
      </c>
      <c r="J23" s="17" t="s">
        <v>77</v>
      </c>
      <c r="K23" s="42" t="s">
        <v>77</v>
      </c>
      <c r="L23" s="34" t="s">
        <v>77</v>
      </c>
      <c r="M23" s="17" t="s">
        <v>77</v>
      </c>
      <c r="N23" s="17" t="s">
        <v>77</v>
      </c>
      <c r="O23" s="42" t="s">
        <v>77</v>
      </c>
    </row>
    <row r="24" spans="1:15" x14ac:dyDescent="0.25">
      <c r="A24" s="36">
        <v>9</v>
      </c>
      <c r="B24" s="29" t="str">
        <f>'LEGGER XII AKL'!B23</f>
        <v>Jingga Nur Qalam</v>
      </c>
      <c r="C24" s="30" t="str">
        <f>'LEGGER XII AKL'!C23</f>
        <v>0067481076</v>
      </c>
      <c r="D24" s="40" t="s">
        <v>77</v>
      </c>
      <c r="E24" s="17" t="s">
        <v>77</v>
      </c>
      <c r="F24" s="17" t="s">
        <v>77</v>
      </c>
      <c r="G24" s="42" t="s">
        <v>77</v>
      </c>
      <c r="H24" s="34" t="s">
        <v>77</v>
      </c>
      <c r="I24" s="17" t="s">
        <v>77</v>
      </c>
      <c r="J24" s="17" t="s">
        <v>77</v>
      </c>
      <c r="K24" s="42" t="s">
        <v>77</v>
      </c>
      <c r="L24" s="34" t="s">
        <v>77</v>
      </c>
      <c r="M24" s="17" t="s">
        <v>77</v>
      </c>
      <c r="N24" s="17" t="s">
        <v>77</v>
      </c>
      <c r="O24" s="42" t="s">
        <v>77</v>
      </c>
    </row>
    <row r="25" spans="1:15" x14ac:dyDescent="0.25">
      <c r="A25" s="36">
        <v>10</v>
      </c>
      <c r="B25" s="29" t="str">
        <f>'LEGGER XII AKL'!B24</f>
        <v>Karina Dwi Sagita</v>
      </c>
      <c r="C25" s="30" t="str">
        <f>'LEGGER XII AKL'!C24</f>
        <v>0057659388</v>
      </c>
      <c r="D25" s="40" t="s">
        <v>77</v>
      </c>
      <c r="E25" s="17" t="s">
        <v>77</v>
      </c>
      <c r="F25" s="17" t="s">
        <v>77</v>
      </c>
      <c r="G25" s="42" t="s">
        <v>77</v>
      </c>
      <c r="H25" s="34" t="s">
        <v>77</v>
      </c>
      <c r="I25" s="17" t="s">
        <v>77</v>
      </c>
      <c r="J25" s="17" t="s">
        <v>77</v>
      </c>
      <c r="K25" s="42" t="s">
        <v>77</v>
      </c>
      <c r="L25" s="34" t="s">
        <v>77</v>
      </c>
      <c r="M25" s="17" t="s">
        <v>77</v>
      </c>
      <c r="N25" s="17" t="s">
        <v>77</v>
      </c>
      <c r="O25" s="42" t="s">
        <v>77</v>
      </c>
    </row>
    <row r="26" spans="1:15" x14ac:dyDescent="0.25">
      <c r="A26" s="36">
        <v>11</v>
      </c>
      <c r="B26" s="29" t="str">
        <f>'LEGGER XII AKL'!B25</f>
        <v>Larasati</v>
      </c>
      <c r="C26" s="30" t="str">
        <f>'LEGGER XII AKL'!C25</f>
        <v>3073371186</v>
      </c>
      <c r="D26" s="40" t="s">
        <v>77</v>
      </c>
      <c r="E26" s="17" t="s">
        <v>77</v>
      </c>
      <c r="F26" s="17" t="s">
        <v>77</v>
      </c>
      <c r="G26" s="42" t="s">
        <v>77</v>
      </c>
      <c r="H26" s="34" t="s">
        <v>77</v>
      </c>
      <c r="I26" s="17" t="s">
        <v>77</v>
      </c>
      <c r="J26" s="17" t="s">
        <v>77</v>
      </c>
      <c r="K26" s="42" t="s">
        <v>77</v>
      </c>
      <c r="L26" s="34" t="s">
        <v>77</v>
      </c>
      <c r="M26" s="17" t="s">
        <v>77</v>
      </c>
      <c r="N26" s="17" t="s">
        <v>77</v>
      </c>
      <c r="O26" s="42" t="s">
        <v>77</v>
      </c>
    </row>
    <row r="27" spans="1:15" x14ac:dyDescent="0.25">
      <c r="A27" s="36">
        <v>12</v>
      </c>
      <c r="B27" s="29" t="str">
        <f>'LEGGER XII AKL'!B26</f>
        <v>Lia Apriyani</v>
      </c>
      <c r="C27" s="30" t="str">
        <f>'LEGGER XII AKL'!C26</f>
        <v>0074403542</v>
      </c>
      <c r="D27" s="40" t="s">
        <v>77</v>
      </c>
      <c r="E27" s="17" t="s">
        <v>77</v>
      </c>
      <c r="F27" s="17" t="s">
        <v>77</v>
      </c>
      <c r="G27" s="42" t="s">
        <v>77</v>
      </c>
      <c r="H27" s="34" t="s">
        <v>77</v>
      </c>
      <c r="I27" s="17" t="s">
        <v>77</v>
      </c>
      <c r="J27" s="17" t="s">
        <v>77</v>
      </c>
      <c r="K27" s="42" t="s">
        <v>77</v>
      </c>
      <c r="L27" s="34" t="s">
        <v>77</v>
      </c>
      <c r="M27" s="17" t="s">
        <v>77</v>
      </c>
      <c r="N27" s="17" t="s">
        <v>77</v>
      </c>
      <c r="O27" s="42" t="s">
        <v>77</v>
      </c>
    </row>
    <row r="28" spans="1:15" x14ac:dyDescent="0.25">
      <c r="A28" s="36">
        <v>13</v>
      </c>
      <c r="B28" s="29" t="str">
        <f>'LEGGER XII AKL'!B27</f>
        <v>Lulu Amanda</v>
      </c>
      <c r="C28" s="30" t="str">
        <f>'LEGGER XII AKL'!C27</f>
        <v>0078516371</v>
      </c>
      <c r="D28" s="40" t="s">
        <v>77</v>
      </c>
      <c r="E28" s="17" t="s">
        <v>77</v>
      </c>
      <c r="F28" s="17" t="s">
        <v>77</v>
      </c>
      <c r="G28" s="42" t="s">
        <v>77</v>
      </c>
      <c r="H28" s="34" t="s">
        <v>77</v>
      </c>
      <c r="I28" s="17" t="s">
        <v>77</v>
      </c>
      <c r="J28" s="17" t="s">
        <v>77</v>
      </c>
      <c r="K28" s="42" t="s">
        <v>77</v>
      </c>
      <c r="L28" s="34" t="s">
        <v>77</v>
      </c>
      <c r="M28" s="17" t="s">
        <v>77</v>
      </c>
      <c r="N28" s="17" t="s">
        <v>77</v>
      </c>
      <c r="O28" s="42" t="s">
        <v>77</v>
      </c>
    </row>
    <row r="29" spans="1:15" x14ac:dyDescent="0.25">
      <c r="A29" s="36">
        <v>14</v>
      </c>
      <c r="B29" s="29" t="str">
        <f>'LEGGER XII AKL'!B28</f>
        <v>Marsella</v>
      </c>
      <c r="C29" s="30" t="str">
        <f>'LEGGER XII AKL'!C28</f>
        <v>0068435867</v>
      </c>
      <c r="D29" s="40" t="s">
        <v>77</v>
      </c>
      <c r="E29" s="17" t="s">
        <v>77</v>
      </c>
      <c r="F29" s="17" t="s">
        <v>77</v>
      </c>
      <c r="G29" s="42" t="s">
        <v>77</v>
      </c>
      <c r="H29" s="34" t="s">
        <v>77</v>
      </c>
      <c r="I29" s="17" t="s">
        <v>77</v>
      </c>
      <c r="J29" s="17" t="s">
        <v>77</v>
      </c>
      <c r="K29" s="42" t="s">
        <v>77</v>
      </c>
      <c r="L29" s="34" t="s">
        <v>77</v>
      </c>
      <c r="M29" s="17" t="s">
        <v>77</v>
      </c>
      <c r="N29" s="17" t="s">
        <v>77</v>
      </c>
      <c r="O29" s="42" t="s">
        <v>77</v>
      </c>
    </row>
    <row r="30" spans="1:15" x14ac:dyDescent="0.25">
      <c r="A30" s="36">
        <v>15</v>
      </c>
      <c r="B30" s="29" t="str">
        <f>'LEGGER XII AKL'!B29</f>
        <v>Monica Nuraini</v>
      </c>
      <c r="C30" s="30" t="str">
        <f>'LEGGER XII AKL'!C29</f>
        <v>3074322550</v>
      </c>
      <c r="D30" s="40" t="s">
        <v>77</v>
      </c>
      <c r="E30" s="17" t="s">
        <v>77</v>
      </c>
      <c r="F30" s="17" t="s">
        <v>77</v>
      </c>
      <c r="G30" s="42" t="s">
        <v>77</v>
      </c>
      <c r="H30" s="34" t="s">
        <v>77</v>
      </c>
      <c r="I30" s="17" t="s">
        <v>77</v>
      </c>
      <c r="J30" s="17" t="s">
        <v>77</v>
      </c>
      <c r="K30" s="42" t="s">
        <v>77</v>
      </c>
      <c r="L30" s="34" t="s">
        <v>77</v>
      </c>
      <c r="M30" s="17" t="s">
        <v>77</v>
      </c>
      <c r="N30" s="17" t="s">
        <v>77</v>
      </c>
      <c r="O30" s="42" t="s">
        <v>77</v>
      </c>
    </row>
    <row r="31" spans="1:15" x14ac:dyDescent="0.25">
      <c r="A31" s="36">
        <v>16</v>
      </c>
      <c r="B31" s="29" t="str">
        <f>'LEGGER XII AKL'!B30</f>
        <v>Muhammad Rafa Zaidan</v>
      </c>
      <c r="C31" s="30" t="str">
        <f>'LEGGER XII AKL'!C30</f>
        <v>0078820397</v>
      </c>
      <c r="D31" s="40" t="s">
        <v>77</v>
      </c>
      <c r="E31" s="17" t="s">
        <v>77</v>
      </c>
      <c r="F31" s="17" t="s">
        <v>77</v>
      </c>
      <c r="G31" s="42" t="s">
        <v>77</v>
      </c>
      <c r="H31" s="34" t="s">
        <v>77</v>
      </c>
      <c r="I31" s="17" t="s">
        <v>77</v>
      </c>
      <c r="J31" s="17" t="s">
        <v>77</v>
      </c>
      <c r="K31" s="42" t="s">
        <v>77</v>
      </c>
      <c r="L31" s="34" t="s">
        <v>77</v>
      </c>
      <c r="M31" s="17" t="s">
        <v>77</v>
      </c>
      <c r="N31" s="17" t="s">
        <v>77</v>
      </c>
      <c r="O31" s="42" t="s">
        <v>77</v>
      </c>
    </row>
    <row r="32" spans="1:15" x14ac:dyDescent="0.25">
      <c r="A32" s="36">
        <v>17</v>
      </c>
      <c r="B32" s="29" t="str">
        <f>'LEGGER XII AKL'!B31</f>
        <v>Mutia Nurhapijah</v>
      </c>
      <c r="C32" s="30" t="str">
        <f>'LEGGER XII AKL'!C31</f>
        <v>0066903308</v>
      </c>
      <c r="D32" s="40" t="s">
        <v>77</v>
      </c>
      <c r="E32" s="17" t="s">
        <v>77</v>
      </c>
      <c r="F32" s="17" t="s">
        <v>77</v>
      </c>
      <c r="G32" s="42" t="s">
        <v>77</v>
      </c>
      <c r="H32" s="34" t="s">
        <v>77</v>
      </c>
      <c r="I32" s="17" t="s">
        <v>77</v>
      </c>
      <c r="J32" s="17" t="s">
        <v>77</v>
      </c>
      <c r="K32" s="42" t="s">
        <v>77</v>
      </c>
      <c r="L32" s="34" t="s">
        <v>77</v>
      </c>
      <c r="M32" s="17" t="s">
        <v>77</v>
      </c>
      <c r="N32" s="17" t="s">
        <v>77</v>
      </c>
      <c r="O32" s="42" t="s">
        <v>77</v>
      </c>
    </row>
    <row r="33" spans="1:15" x14ac:dyDescent="0.25">
      <c r="A33" s="36">
        <v>18</v>
      </c>
      <c r="B33" s="29" t="str">
        <f>'LEGGER XII AKL'!B32</f>
        <v>Nayla Adristi Permata</v>
      </c>
      <c r="C33" s="30" t="str">
        <f>'LEGGER XII AKL'!C32</f>
        <v>0069309541</v>
      </c>
      <c r="D33" s="40" t="s">
        <v>77</v>
      </c>
      <c r="E33" s="17" t="s">
        <v>77</v>
      </c>
      <c r="F33" s="17" t="s">
        <v>77</v>
      </c>
      <c r="G33" s="42" t="s">
        <v>77</v>
      </c>
      <c r="H33" s="34" t="s">
        <v>77</v>
      </c>
      <c r="I33" s="17" t="s">
        <v>77</v>
      </c>
      <c r="J33" s="17" t="s">
        <v>77</v>
      </c>
      <c r="K33" s="42" t="s">
        <v>77</v>
      </c>
      <c r="L33" s="34" t="s">
        <v>77</v>
      </c>
      <c r="M33" s="17" t="s">
        <v>77</v>
      </c>
      <c r="N33" s="17" t="s">
        <v>77</v>
      </c>
      <c r="O33" s="42" t="s">
        <v>77</v>
      </c>
    </row>
    <row r="34" spans="1:15" x14ac:dyDescent="0.25">
      <c r="A34" s="36">
        <v>19</v>
      </c>
      <c r="B34" s="29" t="str">
        <f>'LEGGER XII AKL'!B33</f>
        <v>Nazwa Inggrid Afiah</v>
      </c>
      <c r="C34" s="30" t="str">
        <f>'LEGGER XII AKL'!C33</f>
        <v>0074899472</v>
      </c>
      <c r="D34" s="40" t="s">
        <v>77</v>
      </c>
      <c r="E34" s="17" t="s">
        <v>77</v>
      </c>
      <c r="F34" s="17" t="s">
        <v>77</v>
      </c>
      <c r="G34" s="42" t="s">
        <v>77</v>
      </c>
      <c r="H34" s="34" t="s">
        <v>77</v>
      </c>
      <c r="I34" s="17" t="s">
        <v>77</v>
      </c>
      <c r="J34" s="17" t="s">
        <v>77</v>
      </c>
      <c r="K34" s="42" t="s">
        <v>77</v>
      </c>
      <c r="L34" s="34" t="s">
        <v>77</v>
      </c>
      <c r="M34" s="17" t="s">
        <v>77</v>
      </c>
      <c r="N34" s="17" t="s">
        <v>77</v>
      </c>
      <c r="O34" s="42" t="s">
        <v>77</v>
      </c>
    </row>
    <row r="35" spans="1:15" x14ac:dyDescent="0.25">
      <c r="A35" s="36">
        <v>20</v>
      </c>
      <c r="B35" s="29" t="str">
        <f>'LEGGER XII AKL'!B34</f>
        <v>Nikmatuz Zakiyah</v>
      </c>
      <c r="C35" s="30" t="str">
        <f>'LEGGER XII AKL'!C34</f>
        <v>0073236952</v>
      </c>
      <c r="D35" s="40" t="s">
        <v>77</v>
      </c>
      <c r="E35" s="17" t="s">
        <v>77</v>
      </c>
      <c r="F35" s="17" t="s">
        <v>77</v>
      </c>
      <c r="G35" s="42" t="s">
        <v>77</v>
      </c>
      <c r="H35" s="34" t="s">
        <v>77</v>
      </c>
      <c r="I35" s="17" t="s">
        <v>77</v>
      </c>
      <c r="J35" s="17" t="s">
        <v>77</v>
      </c>
      <c r="K35" s="42" t="s">
        <v>77</v>
      </c>
      <c r="L35" s="34" t="s">
        <v>77</v>
      </c>
      <c r="M35" s="17" t="s">
        <v>77</v>
      </c>
      <c r="N35" s="17" t="s">
        <v>77</v>
      </c>
      <c r="O35" s="42" t="s">
        <v>77</v>
      </c>
    </row>
    <row r="36" spans="1:15" x14ac:dyDescent="0.25">
      <c r="A36" s="36">
        <v>21</v>
      </c>
      <c r="B36" s="29" t="str">
        <f>'LEGGER XII AKL'!B35</f>
        <v>Novia Nabila</v>
      </c>
      <c r="C36" s="30" t="str">
        <f>'LEGGER XII AKL'!C35</f>
        <v>0063211372</v>
      </c>
      <c r="D36" s="40" t="s">
        <v>77</v>
      </c>
      <c r="E36" s="17" t="s">
        <v>77</v>
      </c>
      <c r="F36" s="17" t="s">
        <v>77</v>
      </c>
      <c r="G36" s="42" t="s">
        <v>77</v>
      </c>
      <c r="H36" s="34" t="s">
        <v>77</v>
      </c>
      <c r="I36" s="17" t="s">
        <v>77</v>
      </c>
      <c r="J36" s="17" t="s">
        <v>77</v>
      </c>
      <c r="K36" s="42" t="s">
        <v>77</v>
      </c>
      <c r="L36" s="34" t="s">
        <v>77</v>
      </c>
      <c r="M36" s="17" t="s">
        <v>77</v>
      </c>
      <c r="N36" s="17" t="s">
        <v>77</v>
      </c>
      <c r="O36" s="42" t="s">
        <v>77</v>
      </c>
    </row>
    <row r="37" spans="1:15" x14ac:dyDescent="0.25">
      <c r="A37" s="36">
        <v>22</v>
      </c>
      <c r="B37" s="29" t="str">
        <f>'LEGGER XII AKL'!B36</f>
        <v>Rafly Ardiansyah</v>
      </c>
      <c r="C37" s="30" t="str">
        <f>'LEGGER XII AKL'!C36</f>
        <v>0058145729</v>
      </c>
      <c r="D37" s="40" t="s">
        <v>77</v>
      </c>
      <c r="E37" s="17" t="s">
        <v>77</v>
      </c>
      <c r="F37" s="17" t="s">
        <v>77</v>
      </c>
      <c r="G37" s="42" t="s">
        <v>77</v>
      </c>
      <c r="H37" s="34" t="s">
        <v>77</v>
      </c>
      <c r="I37" s="17" t="s">
        <v>77</v>
      </c>
      <c r="J37" s="17" t="s">
        <v>77</v>
      </c>
      <c r="K37" s="42" t="s">
        <v>77</v>
      </c>
      <c r="L37" s="34" t="s">
        <v>77</v>
      </c>
      <c r="M37" s="17" t="s">
        <v>77</v>
      </c>
      <c r="N37" s="17" t="s">
        <v>77</v>
      </c>
      <c r="O37" s="42" t="s">
        <v>77</v>
      </c>
    </row>
    <row r="38" spans="1:15" x14ac:dyDescent="0.25">
      <c r="A38" s="36">
        <v>23</v>
      </c>
      <c r="B38" s="29" t="str">
        <f>'LEGGER XII AKL'!B37</f>
        <v>Ratu Ramadhania</v>
      </c>
      <c r="C38" s="30" t="str">
        <f>'LEGGER XII AKL'!C37</f>
        <v>0069672011</v>
      </c>
      <c r="D38" s="40" t="s">
        <v>77</v>
      </c>
      <c r="E38" s="17" t="s">
        <v>77</v>
      </c>
      <c r="F38" s="17" t="s">
        <v>77</v>
      </c>
      <c r="G38" s="42" t="s">
        <v>77</v>
      </c>
      <c r="H38" s="34" t="s">
        <v>77</v>
      </c>
      <c r="I38" s="17" t="s">
        <v>77</v>
      </c>
      <c r="J38" s="17" t="s">
        <v>77</v>
      </c>
      <c r="K38" s="42" t="s">
        <v>77</v>
      </c>
      <c r="L38" s="34" t="s">
        <v>77</v>
      </c>
      <c r="M38" s="17" t="s">
        <v>77</v>
      </c>
      <c r="N38" s="17" t="s">
        <v>77</v>
      </c>
      <c r="O38" s="42" t="s">
        <v>77</v>
      </c>
    </row>
    <row r="39" spans="1:15" x14ac:dyDescent="0.25">
      <c r="A39" s="36">
        <v>24</v>
      </c>
      <c r="B39" s="29" t="str">
        <f>'LEGGER XII AKL'!B38</f>
        <v>Rizky Intan Fahrani</v>
      </c>
      <c r="C39" s="30" t="str">
        <f>'LEGGER XII AKL'!C38</f>
        <v>3075648832</v>
      </c>
      <c r="D39" s="40" t="s">
        <v>77</v>
      </c>
      <c r="E39" s="17" t="s">
        <v>77</v>
      </c>
      <c r="F39" s="17" t="s">
        <v>77</v>
      </c>
      <c r="G39" s="42" t="s">
        <v>77</v>
      </c>
      <c r="H39" s="34" t="s">
        <v>77</v>
      </c>
      <c r="I39" s="17" t="s">
        <v>77</v>
      </c>
      <c r="J39" s="17" t="s">
        <v>77</v>
      </c>
      <c r="K39" s="42" t="s">
        <v>77</v>
      </c>
      <c r="L39" s="34" t="s">
        <v>77</v>
      </c>
      <c r="M39" s="17" t="s">
        <v>77</v>
      </c>
      <c r="N39" s="17" t="s">
        <v>77</v>
      </c>
      <c r="O39" s="42" t="s">
        <v>77</v>
      </c>
    </row>
    <row r="40" spans="1:15" x14ac:dyDescent="0.25">
      <c r="A40" s="36">
        <v>25</v>
      </c>
      <c r="B40" s="29" t="str">
        <f>'LEGGER XII AKL'!B39</f>
        <v>Salwa Fatimah Az-Zahra</v>
      </c>
      <c r="C40" s="30" t="str">
        <f>'LEGGER XII AKL'!C39</f>
        <v>0071228586</v>
      </c>
      <c r="D40" s="40" t="s">
        <v>77</v>
      </c>
      <c r="E40" s="17" t="s">
        <v>77</v>
      </c>
      <c r="F40" s="17" t="s">
        <v>77</v>
      </c>
      <c r="G40" s="42" t="s">
        <v>77</v>
      </c>
      <c r="H40" s="34" t="s">
        <v>77</v>
      </c>
      <c r="I40" s="17" t="s">
        <v>77</v>
      </c>
      <c r="J40" s="17" t="s">
        <v>77</v>
      </c>
      <c r="K40" s="42" t="s">
        <v>77</v>
      </c>
      <c r="L40" s="34" t="s">
        <v>77</v>
      </c>
      <c r="M40" s="17" t="s">
        <v>77</v>
      </c>
      <c r="N40" s="17" t="s">
        <v>77</v>
      </c>
      <c r="O40" s="42" t="s">
        <v>77</v>
      </c>
    </row>
    <row r="41" spans="1:15" x14ac:dyDescent="0.25">
      <c r="A41" s="36">
        <v>26</v>
      </c>
      <c r="B41" s="29" t="str">
        <f>'LEGGER XII AKL'!B40</f>
        <v>Salwa Salsabila</v>
      </c>
      <c r="C41" s="30" t="str">
        <f>'LEGGER XII AKL'!C40</f>
        <v>0066383402</v>
      </c>
      <c r="D41" s="40" t="s">
        <v>77</v>
      </c>
      <c r="E41" s="17" t="s">
        <v>77</v>
      </c>
      <c r="F41" s="17" t="s">
        <v>77</v>
      </c>
      <c r="G41" s="42" t="s">
        <v>77</v>
      </c>
      <c r="H41" s="34" t="s">
        <v>77</v>
      </c>
      <c r="I41" s="17" t="s">
        <v>77</v>
      </c>
      <c r="J41" s="17" t="s">
        <v>77</v>
      </c>
      <c r="K41" s="42" t="s">
        <v>77</v>
      </c>
      <c r="L41" s="34" t="s">
        <v>77</v>
      </c>
      <c r="M41" s="17" t="s">
        <v>77</v>
      </c>
      <c r="N41" s="17" t="s">
        <v>77</v>
      </c>
      <c r="O41" s="42" t="s">
        <v>77</v>
      </c>
    </row>
    <row r="42" spans="1:15" x14ac:dyDescent="0.25">
      <c r="A42" s="36">
        <v>27</v>
      </c>
      <c r="B42" s="29" t="str">
        <f>'LEGGER XII AKL'!B41</f>
        <v>Shalsabila Lesmana</v>
      </c>
      <c r="C42" s="30" t="str">
        <f>'LEGGER XII AKL'!C41</f>
        <v>0065632276</v>
      </c>
      <c r="D42" s="40" t="s">
        <v>77</v>
      </c>
      <c r="E42" s="17" t="s">
        <v>77</v>
      </c>
      <c r="F42" s="17" t="s">
        <v>77</v>
      </c>
      <c r="G42" s="42" t="s">
        <v>77</v>
      </c>
      <c r="H42" s="34" t="s">
        <v>77</v>
      </c>
      <c r="I42" s="17" t="s">
        <v>77</v>
      </c>
      <c r="J42" s="17" t="s">
        <v>77</v>
      </c>
      <c r="K42" s="42" t="s">
        <v>77</v>
      </c>
      <c r="L42" s="34" t="s">
        <v>77</v>
      </c>
      <c r="M42" s="17" t="s">
        <v>77</v>
      </c>
      <c r="N42" s="17" t="s">
        <v>77</v>
      </c>
      <c r="O42" s="42" t="s">
        <v>77</v>
      </c>
    </row>
    <row r="43" spans="1:15" x14ac:dyDescent="0.25">
      <c r="A43" s="36">
        <v>28</v>
      </c>
      <c r="B43" s="29" t="str">
        <f>'LEGGER XII AKL'!B42</f>
        <v>Siti Mutia Hanna</v>
      </c>
      <c r="C43" s="30" t="str">
        <f>'LEGGER XII AKL'!C42</f>
        <v>0062588903</v>
      </c>
      <c r="D43" s="40" t="s">
        <v>77</v>
      </c>
      <c r="E43" s="17" t="s">
        <v>77</v>
      </c>
      <c r="F43" s="17" t="s">
        <v>77</v>
      </c>
      <c r="G43" s="42" t="s">
        <v>77</v>
      </c>
      <c r="H43" s="34" t="s">
        <v>77</v>
      </c>
      <c r="I43" s="17" t="s">
        <v>77</v>
      </c>
      <c r="J43" s="17" t="s">
        <v>77</v>
      </c>
      <c r="K43" s="42" t="s">
        <v>77</v>
      </c>
      <c r="L43" s="34" t="s">
        <v>77</v>
      </c>
      <c r="M43" s="17" t="s">
        <v>77</v>
      </c>
      <c r="N43" s="17" t="s">
        <v>77</v>
      </c>
      <c r="O43" s="42" t="s">
        <v>77</v>
      </c>
    </row>
    <row r="44" spans="1:15" x14ac:dyDescent="0.25">
      <c r="A44" s="36">
        <v>29</v>
      </c>
      <c r="B44" s="29" t="str">
        <f>'LEGGER XII AKL'!B43</f>
        <v>Syafira Andhini Endah Muejiawati</v>
      </c>
      <c r="C44" s="30" t="str">
        <f>'LEGGER XII AKL'!C43</f>
        <v>0077798543</v>
      </c>
      <c r="D44" s="40" t="s">
        <v>77</v>
      </c>
      <c r="E44" s="17" t="s">
        <v>77</v>
      </c>
      <c r="F44" s="17" t="s">
        <v>77</v>
      </c>
      <c r="G44" s="42" t="s">
        <v>77</v>
      </c>
      <c r="H44" s="34" t="s">
        <v>77</v>
      </c>
      <c r="I44" s="17" t="s">
        <v>77</v>
      </c>
      <c r="J44" s="17" t="s">
        <v>77</v>
      </c>
      <c r="K44" s="42" t="s">
        <v>77</v>
      </c>
      <c r="L44" s="34" t="s">
        <v>77</v>
      </c>
      <c r="M44" s="17" t="s">
        <v>77</v>
      </c>
      <c r="N44" s="17" t="s">
        <v>77</v>
      </c>
      <c r="O44" s="42" t="s">
        <v>77</v>
      </c>
    </row>
    <row r="45" spans="1:15" x14ac:dyDescent="0.25">
      <c r="A45" s="36">
        <v>30</v>
      </c>
      <c r="B45" s="29" t="str">
        <f>'LEGGER XII AKL'!B44</f>
        <v>Thoriq Ahmad Muzafran</v>
      </c>
      <c r="C45" s="30" t="str">
        <f>'LEGGER XII AKL'!C44</f>
        <v>3054086042</v>
      </c>
      <c r="D45" s="40" t="s">
        <v>77</v>
      </c>
      <c r="E45" s="17" t="s">
        <v>77</v>
      </c>
      <c r="F45" s="17" t="s">
        <v>77</v>
      </c>
      <c r="G45" s="42" t="s">
        <v>77</v>
      </c>
      <c r="H45" s="34" t="s">
        <v>77</v>
      </c>
      <c r="I45" s="17" t="s">
        <v>77</v>
      </c>
      <c r="J45" s="17" t="s">
        <v>77</v>
      </c>
      <c r="K45" s="42" t="s">
        <v>77</v>
      </c>
      <c r="L45" s="34" t="s">
        <v>77</v>
      </c>
      <c r="M45" s="17" t="s">
        <v>77</v>
      </c>
      <c r="N45" s="17" t="s">
        <v>77</v>
      </c>
      <c r="O45" s="42" t="s">
        <v>77</v>
      </c>
    </row>
    <row r="46" spans="1:15" x14ac:dyDescent="0.25">
      <c r="A46" s="36">
        <v>31</v>
      </c>
      <c r="B46" s="29" t="str">
        <f>'LEGGER XII AKL'!B45</f>
        <v>Vadyllah Zhara</v>
      </c>
      <c r="C46" s="30" t="str">
        <f>'LEGGER XII AKL'!C45</f>
        <v>0078314869</v>
      </c>
      <c r="D46" s="40" t="s">
        <v>77</v>
      </c>
      <c r="E46" s="17" t="s">
        <v>77</v>
      </c>
      <c r="F46" s="17" t="s">
        <v>77</v>
      </c>
      <c r="G46" s="42" t="s">
        <v>77</v>
      </c>
      <c r="H46" s="34" t="s">
        <v>77</v>
      </c>
      <c r="I46" s="17" t="s">
        <v>77</v>
      </c>
      <c r="J46" s="17" t="s">
        <v>77</v>
      </c>
      <c r="K46" s="42" t="s">
        <v>77</v>
      </c>
      <c r="L46" s="34" t="s">
        <v>77</v>
      </c>
      <c r="M46" s="17" t="s">
        <v>77</v>
      </c>
      <c r="N46" s="17" t="s">
        <v>77</v>
      </c>
      <c r="O46" s="42" t="s">
        <v>77</v>
      </c>
    </row>
    <row r="47" spans="1:15" x14ac:dyDescent="0.25">
      <c r="A47" s="36">
        <v>32</v>
      </c>
      <c r="B47" s="29" t="str">
        <f>'LEGGER XII AKL'!B46</f>
        <v>Zafira Raysa Umar</v>
      </c>
      <c r="C47" s="30" t="str">
        <f>'LEGGER XII AKL'!C46</f>
        <v>0073130066</v>
      </c>
      <c r="D47" s="40" t="s">
        <v>77</v>
      </c>
      <c r="E47" s="17" t="s">
        <v>77</v>
      </c>
      <c r="F47" s="17" t="s">
        <v>77</v>
      </c>
      <c r="G47" s="42" t="s">
        <v>77</v>
      </c>
      <c r="H47" s="34" t="s">
        <v>77</v>
      </c>
      <c r="I47" s="17" t="s">
        <v>77</v>
      </c>
      <c r="J47" s="17" t="s">
        <v>77</v>
      </c>
      <c r="K47" s="42" t="s">
        <v>77</v>
      </c>
      <c r="L47" s="34" t="s">
        <v>77</v>
      </c>
      <c r="M47" s="17" t="s">
        <v>77</v>
      </c>
      <c r="N47" s="17" t="s">
        <v>77</v>
      </c>
      <c r="O47" s="42" t="s">
        <v>77</v>
      </c>
    </row>
    <row r="48" spans="1:15" x14ac:dyDescent="0.25">
      <c r="A48" s="36">
        <v>33</v>
      </c>
      <c r="B48" s="29">
        <f>'LEGGER XII AKL'!B47</f>
        <v>0</v>
      </c>
      <c r="C48" s="30">
        <f>'LEGGER XII AKL'!C47</f>
        <v>0</v>
      </c>
      <c r="D48" s="40" t="s">
        <v>77</v>
      </c>
      <c r="E48" s="17" t="s">
        <v>77</v>
      </c>
      <c r="F48" s="17" t="s">
        <v>77</v>
      </c>
      <c r="G48" s="42" t="s">
        <v>77</v>
      </c>
      <c r="H48" s="34" t="s">
        <v>77</v>
      </c>
      <c r="I48" s="17" t="s">
        <v>77</v>
      </c>
      <c r="J48" s="17" t="s">
        <v>77</v>
      </c>
      <c r="K48" s="42" t="s">
        <v>77</v>
      </c>
      <c r="L48" s="34" t="s">
        <v>77</v>
      </c>
      <c r="M48" s="17" t="s">
        <v>77</v>
      </c>
      <c r="N48" s="17" t="s">
        <v>77</v>
      </c>
      <c r="O48" s="42" t="s">
        <v>77</v>
      </c>
    </row>
    <row r="49" spans="1:15" x14ac:dyDescent="0.25">
      <c r="A49" s="36">
        <v>34</v>
      </c>
      <c r="B49" s="29">
        <f>'LEGGER XII AKL'!B48</f>
        <v>0</v>
      </c>
      <c r="C49" s="30">
        <f>'LEGGER XII AKL'!C48</f>
        <v>0</v>
      </c>
      <c r="D49" s="40" t="s">
        <v>77</v>
      </c>
      <c r="E49" s="17" t="s">
        <v>77</v>
      </c>
      <c r="F49" s="17" t="s">
        <v>77</v>
      </c>
      <c r="G49" s="42" t="s">
        <v>77</v>
      </c>
      <c r="H49" s="34" t="s">
        <v>77</v>
      </c>
      <c r="I49" s="17" t="s">
        <v>77</v>
      </c>
      <c r="J49" s="17" t="s">
        <v>77</v>
      </c>
      <c r="K49" s="42" t="s">
        <v>77</v>
      </c>
      <c r="L49" s="34" t="s">
        <v>77</v>
      </c>
      <c r="M49" s="17" t="s">
        <v>77</v>
      </c>
      <c r="N49" s="17" t="s">
        <v>77</v>
      </c>
      <c r="O49" s="42" t="s">
        <v>77</v>
      </c>
    </row>
    <row r="50" spans="1:15" x14ac:dyDescent="0.25">
      <c r="A50" s="36">
        <v>35</v>
      </c>
      <c r="B50" s="29">
        <f>'LEGGER XII AKL'!B49</f>
        <v>0</v>
      </c>
      <c r="C50" s="30">
        <f>'LEGGER XII AKL'!C49</f>
        <v>0</v>
      </c>
      <c r="D50" s="40" t="s">
        <v>77</v>
      </c>
      <c r="E50" s="17" t="s">
        <v>77</v>
      </c>
      <c r="F50" s="17" t="s">
        <v>77</v>
      </c>
      <c r="G50" s="42" t="s">
        <v>77</v>
      </c>
      <c r="H50" s="34" t="s">
        <v>77</v>
      </c>
      <c r="I50" s="17" t="s">
        <v>77</v>
      </c>
      <c r="J50" s="17" t="s">
        <v>77</v>
      </c>
      <c r="K50" s="42" t="s">
        <v>77</v>
      </c>
      <c r="L50" s="34" t="s">
        <v>77</v>
      </c>
      <c r="M50" s="17" t="s">
        <v>77</v>
      </c>
      <c r="N50" s="17" t="s">
        <v>77</v>
      </c>
      <c r="O50" s="42" t="s">
        <v>77</v>
      </c>
    </row>
    <row r="51" spans="1:15" x14ac:dyDescent="0.25">
      <c r="A51" s="36">
        <v>36</v>
      </c>
      <c r="B51" s="29">
        <f>'LEGGER XII AKL'!B50</f>
        <v>0</v>
      </c>
      <c r="C51" s="30">
        <f>'LEGGER XII AKL'!C50</f>
        <v>0</v>
      </c>
      <c r="D51" s="40" t="s">
        <v>77</v>
      </c>
      <c r="E51" s="17" t="s">
        <v>77</v>
      </c>
      <c r="F51" s="17" t="s">
        <v>77</v>
      </c>
      <c r="G51" s="42" t="s">
        <v>77</v>
      </c>
      <c r="H51" s="34" t="s">
        <v>77</v>
      </c>
      <c r="I51" s="17" t="s">
        <v>77</v>
      </c>
      <c r="J51" s="17" t="s">
        <v>77</v>
      </c>
      <c r="K51" s="42" t="s">
        <v>77</v>
      </c>
      <c r="L51" s="34" t="s">
        <v>77</v>
      </c>
      <c r="M51" s="17" t="s">
        <v>77</v>
      </c>
      <c r="N51" s="17" t="s">
        <v>77</v>
      </c>
      <c r="O51" s="42" t="s">
        <v>77</v>
      </c>
    </row>
    <row r="52" spans="1:15" x14ac:dyDescent="0.25">
      <c r="A52" s="36">
        <v>37</v>
      </c>
      <c r="B52" s="29">
        <f>'LEGGER XII AKL'!B51</f>
        <v>0</v>
      </c>
      <c r="C52" s="30">
        <f>'LEGGER XII AKL'!C51</f>
        <v>0</v>
      </c>
      <c r="D52" s="40" t="s">
        <v>77</v>
      </c>
      <c r="E52" s="17" t="s">
        <v>77</v>
      </c>
      <c r="F52" s="17" t="s">
        <v>77</v>
      </c>
      <c r="G52" s="42" t="s">
        <v>77</v>
      </c>
      <c r="H52" s="34" t="s">
        <v>77</v>
      </c>
      <c r="I52" s="17" t="s">
        <v>77</v>
      </c>
      <c r="J52" s="17" t="s">
        <v>77</v>
      </c>
      <c r="K52" s="42" t="s">
        <v>77</v>
      </c>
      <c r="L52" s="34" t="s">
        <v>77</v>
      </c>
      <c r="M52" s="17" t="s">
        <v>77</v>
      </c>
      <c r="N52" s="17" t="s">
        <v>77</v>
      </c>
      <c r="O52" s="42" t="s">
        <v>77</v>
      </c>
    </row>
    <row r="53" spans="1:15" x14ac:dyDescent="0.25">
      <c r="A53" s="36">
        <v>38</v>
      </c>
      <c r="B53" s="29">
        <f>'LEGGER XII AKL'!B52</f>
        <v>0</v>
      </c>
      <c r="C53" s="30">
        <f>'LEGGER XII AKL'!C52</f>
        <v>0</v>
      </c>
      <c r="D53" s="40" t="s">
        <v>77</v>
      </c>
      <c r="E53" s="17" t="s">
        <v>77</v>
      </c>
      <c r="F53" s="17" t="s">
        <v>77</v>
      </c>
      <c r="G53" s="42" t="s">
        <v>77</v>
      </c>
      <c r="H53" s="34" t="s">
        <v>77</v>
      </c>
      <c r="I53" s="17" t="s">
        <v>77</v>
      </c>
      <c r="J53" s="17" t="s">
        <v>77</v>
      </c>
      <c r="K53" s="42" t="s">
        <v>77</v>
      </c>
      <c r="L53" s="34" t="s">
        <v>77</v>
      </c>
      <c r="M53" s="17" t="s">
        <v>77</v>
      </c>
      <c r="N53" s="17" t="s">
        <v>77</v>
      </c>
      <c r="O53" s="42" t="s">
        <v>77</v>
      </c>
    </row>
    <row r="54" spans="1:15" x14ac:dyDescent="0.25">
      <c r="A54" s="36">
        <v>39</v>
      </c>
      <c r="B54" s="29">
        <f>'LEGGER XII AKL'!B53</f>
        <v>0</v>
      </c>
      <c r="C54" s="30">
        <f>'LEGGER XII AKL'!C53</f>
        <v>0</v>
      </c>
      <c r="D54" s="40" t="s">
        <v>77</v>
      </c>
      <c r="E54" s="17" t="s">
        <v>77</v>
      </c>
      <c r="F54" s="17" t="s">
        <v>77</v>
      </c>
      <c r="G54" s="42" t="s">
        <v>77</v>
      </c>
      <c r="H54" s="34" t="s">
        <v>77</v>
      </c>
      <c r="I54" s="17" t="s">
        <v>77</v>
      </c>
      <c r="J54" s="17" t="s">
        <v>77</v>
      </c>
      <c r="K54" s="42" t="s">
        <v>77</v>
      </c>
      <c r="L54" s="34" t="s">
        <v>77</v>
      </c>
      <c r="M54" s="17" t="s">
        <v>77</v>
      </c>
      <c r="N54" s="17" t="s">
        <v>77</v>
      </c>
      <c r="O54" s="42" t="s">
        <v>77</v>
      </c>
    </row>
    <row r="55" spans="1:15" ht="16.5" thickBot="1" x14ac:dyDescent="0.3">
      <c r="A55" s="57">
        <v>40</v>
      </c>
      <c r="B55" s="23">
        <f>'LEGGER XII AKL'!B54</f>
        <v>0</v>
      </c>
      <c r="C55" s="31">
        <f>'LEGGER XII AKL'!C54</f>
        <v>0</v>
      </c>
      <c r="D55" s="41" t="s">
        <v>77</v>
      </c>
      <c r="E55" s="39" t="s">
        <v>77</v>
      </c>
      <c r="F55" s="39" t="s">
        <v>77</v>
      </c>
      <c r="G55" s="43" t="s">
        <v>77</v>
      </c>
      <c r="H55" s="35" t="s">
        <v>77</v>
      </c>
      <c r="I55" s="39" t="s">
        <v>77</v>
      </c>
      <c r="J55" s="39" t="s">
        <v>77</v>
      </c>
      <c r="K55" s="43" t="s">
        <v>77</v>
      </c>
      <c r="L55" s="35" t="s">
        <v>77</v>
      </c>
      <c r="M55" s="39" t="s">
        <v>77</v>
      </c>
      <c r="N55" s="39" t="s">
        <v>77</v>
      </c>
      <c r="O55" s="43" t="s">
        <v>77</v>
      </c>
    </row>
    <row r="56" spans="1:15" x14ac:dyDescent="0.25">
      <c r="A56" s="16"/>
      <c r="B56" s="26"/>
      <c r="C56" s="27"/>
      <c r="D56" s="28"/>
      <c r="E56" s="28"/>
      <c r="F56" s="28"/>
      <c r="G56" s="28"/>
      <c r="H56" s="28"/>
      <c r="I56" s="28"/>
      <c r="J56" s="28"/>
      <c r="K56" s="28"/>
      <c r="L56" s="28"/>
      <c r="M56" s="28"/>
      <c r="N56" s="28"/>
      <c r="O56" s="28"/>
    </row>
    <row r="57" spans="1:15" x14ac:dyDescent="0.25">
      <c r="A57" s="16"/>
      <c r="B57" s="26"/>
      <c r="C57" s="27"/>
      <c r="D57" s="28"/>
      <c r="E57" s="28"/>
      <c r="F57" s="28"/>
      <c r="G57" s="28"/>
      <c r="H57" s="28"/>
      <c r="I57" s="28"/>
      <c r="J57" s="28"/>
      <c r="K57" s="28"/>
      <c r="L57" s="28"/>
      <c r="M57" s="28"/>
      <c r="N57" s="28"/>
      <c r="O57" s="28"/>
    </row>
    <row r="58" spans="1:15" x14ac:dyDescent="0.25">
      <c r="A58" s="16"/>
      <c r="B58" s="26"/>
      <c r="C58" s="27"/>
      <c r="D58" s="28"/>
      <c r="E58" s="28"/>
      <c r="F58" s="28"/>
      <c r="G58" s="28"/>
      <c r="H58" s="28"/>
      <c r="I58" s="28"/>
      <c r="J58" s="28"/>
      <c r="K58" s="28"/>
      <c r="L58" s="28"/>
      <c r="M58" s="28"/>
      <c r="N58" s="28"/>
      <c r="O58" s="28"/>
    </row>
    <row r="59" spans="1:15" x14ac:dyDescent="0.25">
      <c r="A59" s="16"/>
      <c r="B59" s="26"/>
      <c r="C59" s="27"/>
      <c r="D59" s="28"/>
      <c r="E59" s="28"/>
      <c r="F59" s="28"/>
      <c r="G59" s="28"/>
      <c r="H59" s="28"/>
      <c r="I59" s="28"/>
      <c r="J59" s="28"/>
      <c r="K59" s="28"/>
      <c r="L59" s="28"/>
      <c r="M59" s="28"/>
      <c r="N59" s="28"/>
      <c r="O59" s="28"/>
    </row>
    <row r="60" spans="1:15" x14ac:dyDescent="0.25">
      <c r="A60" s="16"/>
      <c r="B60" s="26"/>
      <c r="C60" s="27"/>
      <c r="D60" s="28"/>
      <c r="E60" s="28"/>
      <c r="F60" s="28"/>
      <c r="G60" s="28"/>
      <c r="H60" s="28"/>
      <c r="I60" s="28"/>
      <c r="J60" s="28"/>
      <c r="K60" s="28"/>
      <c r="L60" s="28"/>
      <c r="M60" s="28"/>
      <c r="N60" s="28"/>
      <c r="O60" s="28"/>
    </row>
    <row r="61" spans="1:15" x14ac:dyDescent="0.25">
      <c r="A61" s="16"/>
      <c r="B61" s="26"/>
      <c r="C61" s="27"/>
      <c r="D61" s="28"/>
      <c r="E61" s="28"/>
      <c r="F61" s="28"/>
      <c r="G61" s="28"/>
      <c r="H61" s="28"/>
      <c r="I61" s="28"/>
      <c r="J61" s="28"/>
      <c r="K61" s="28"/>
      <c r="L61" s="28"/>
      <c r="M61" s="28"/>
      <c r="N61" s="28"/>
      <c r="O61" s="28"/>
    </row>
    <row r="62" spans="1:15" x14ac:dyDescent="0.25">
      <c r="A62" s="16"/>
      <c r="B62" s="26"/>
      <c r="C62" s="27"/>
      <c r="D62" s="28"/>
      <c r="E62" s="28"/>
      <c r="F62" s="28"/>
      <c r="G62" s="28"/>
      <c r="H62" s="28"/>
      <c r="I62" s="28"/>
      <c r="J62" s="28"/>
      <c r="K62" s="28"/>
      <c r="L62" s="28"/>
      <c r="M62" s="28"/>
      <c r="N62" s="28"/>
      <c r="O62" s="28"/>
    </row>
    <row r="63" spans="1:15" x14ac:dyDescent="0.25">
      <c r="A63" s="16"/>
      <c r="B63" s="26"/>
      <c r="C63" s="27"/>
      <c r="D63" s="28"/>
      <c r="E63" s="28"/>
      <c r="F63" s="28"/>
      <c r="G63" s="28"/>
      <c r="H63" s="28"/>
      <c r="I63" s="28"/>
      <c r="J63" s="28"/>
      <c r="K63" s="28"/>
      <c r="L63" s="28"/>
      <c r="M63" s="28"/>
      <c r="N63" s="28"/>
      <c r="O63" s="28"/>
    </row>
    <row r="64" spans="1:15" x14ac:dyDescent="0.25">
      <c r="A64" s="16"/>
      <c r="B64" s="26"/>
      <c r="C64" s="27"/>
      <c r="D64" s="28"/>
      <c r="E64" s="28"/>
      <c r="F64" s="28"/>
      <c r="G64" s="28"/>
      <c r="H64" s="28"/>
      <c r="I64" s="28"/>
      <c r="J64" s="28"/>
      <c r="K64" s="28"/>
      <c r="L64" s="28"/>
      <c r="M64" s="28"/>
      <c r="N64" s="28"/>
      <c r="O64" s="28"/>
    </row>
    <row r="65" spans="1:15" x14ac:dyDescent="0.25">
      <c r="A65" s="16"/>
      <c r="B65" s="26"/>
      <c r="C65" s="27"/>
      <c r="D65" s="28"/>
      <c r="E65" s="28"/>
      <c r="F65" s="28"/>
      <c r="G65" s="28"/>
      <c r="H65" s="28"/>
      <c r="I65" s="28"/>
      <c r="J65" s="28"/>
      <c r="K65" s="28"/>
      <c r="L65" s="28"/>
      <c r="M65" s="28"/>
      <c r="N65" s="28"/>
      <c r="O65" s="28"/>
    </row>
  </sheetData>
  <mergeCells count="7">
    <mergeCell ref="D13:O13"/>
    <mergeCell ref="D14:G14"/>
    <mergeCell ref="H14:K14"/>
    <mergeCell ref="L14:O14"/>
    <mergeCell ref="A13:A15"/>
    <mergeCell ref="B13:B15"/>
    <mergeCell ref="C13:C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68D8F2"/>
  </sheetPr>
  <dimension ref="A2:O60"/>
  <sheetViews>
    <sheetView topLeftCell="A47" zoomScale="80" zoomScaleNormal="80" workbookViewId="0">
      <selection activeCell="A73" sqref="A73"/>
    </sheetView>
  </sheetViews>
  <sheetFormatPr defaultColWidth="8.75" defaultRowHeight="15.75" x14ac:dyDescent="0.25"/>
  <cols>
    <col min="1" max="1" width="4" style="1" customWidth="1"/>
    <col min="2" max="2" width="27.5" style="1" customWidth="1"/>
    <col min="3" max="3" width="14.375" style="1" customWidth="1"/>
    <col min="4" max="4" width="22.875" style="1" customWidth="1"/>
    <col min="5" max="7" width="12.125" style="1" customWidth="1"/>
    <col min="8" max="8" width="22.875" style="1" customWidth="1"/>
    <col min="9" max="11" width="12.125" style="1" customWidth="1"/>
    <col min="12" max="15" width="15.5" style="1" customWidth="1"/>
    <col min="16" max="16384" width="8.75" style="1"/>
  </cols>
  <sheetData>
    <row r="2" spans="1:15" ht="25.5" x14ac:dyDescent="0.35">
      <c r="A2" s="7" t="s">
        <v>83</v>
      </c>
    </row>
    <row r="3" spans="1:15" ht="25.5" x14ac:dyDescent="0.35">
      <c r="A3" s="7" t="s">
        <v>179</v>
      </c>
    </row>
    <row r="4" spans="1:15" ht="25.5" x14ac:dyDescent="0.35">
      <c r="A4" s="7" t="s">
        <v>154</v>
      </c>
    </row>
    <row r="6" spans="1:15" x14ac:dyDescent="0.25">
      <c r="B6" s="2" t="s">
        <v>78</v>
      </c>
      <c r="C6" s="14" t="str">
        <f>'LEGGER XII AKL'!C5</f>
        <v>XII AKL</v>
      </c>
    </row>
    <row r="7" spans="1:15" x14ac:dyDescent="0.25">
      <c r="B7" s="2" t="s">
        <v>79</v>
      </c>
      <c r="C7" s="14" t="str">
        <f>'LEGGER XII AKL'!I5&amp;"  SISWA"</f>
        <v>32  SISWA</v>
      </c>
    </row>
    <row r="8" spans="1:15" x14ac:dyDescent="0.25">
      <c r="B8" s="2" t="s">
        <v>80</v>
      </c>
      <c r="C8" s="14" t="str">
        <f>'LEGGER XII AKL'!I6</f>
        <v>Elsa Wahyuningrum, A.Md. KA.</v>
      </c>
    </row>
    <row r="9" spans="1:15" x14ac:dyDescent="0.25">
      <c r="B9" s="2" t="s">
        <v>81</v>
      </c>
      <c r="C9" s="14" t="str">
        <f>'LEGGER XII AKL'!I7</f>
        <v>-</v>
      </c>
    </row>
    <row r="10" spans="1:15" x14ac:dyDescent="0.25">
      <c r="C10" s="2"/>
    </row>
    <row r="11" spans="1:15" hidden="1" x14ac:dyDescent="0.25">
      <c r="A11" s="10">
        <v>1</v>
      </c>
      <c r="B11" s="10">
        <v>2</v>
      </c>
      <c r="C11" s="10">
        <v>3</v>
      </c>
      <c r="D11" s="10">
        <v>4</v>
      </c>
      <c r="E11" s="10">
        <v>5</v>
      </c>
      <c r="F11" s="10">
        <v>6</v>
      </c>
      <c r="G11" s="10">
        <v>7</v>
      </c>
      <c r="H11" s="10">
        <v>8</v>
      </c>
      <c r="I11" s="10">
        <v>9</v>
      </c>
      <c r="J11" s="10">
        <v>10</v>
      </c>
      <c r="K11" s="10">
        <v>11</v>
      </c>
      <c r="L11" s="10">
        <v>12</v>
      </c>
      <c r="M11" s="10">
        <v>13</v>
      </c>
      <c r="N11" s="10">
        <v>14</v>
      </c>
      <c r="O11" s="10">
        <v>15</v>
      </c>
    </row>
    <row r="12" spans="1:15" s="9" customFormat="1" ht="19.899999999999999" customHeight="1" thickBot="1" x14ac:dyDescent="0.35"/>
    <row r="13" spans="1:15" ht="15.6" customHeight="1" thickBot="1" x14ac:dyDescent="0.3">
      <c r="A13" s="318" t="s">
        <v>27</v>
      </c>
      <c r="B13" s="321" t="s">
        <v>28</v>
      </c>
      <c r="C13" s="321" t="s">
        <v>1</v>
      </c>
      <c r="D13" s="327" t="s">
        <v>75</v>
      </c>
      <c r="E13" s="328"/>
      <c r="F13" s="328"/>
      <c r="G13" s="328"/>
      <c r="H13" s="328"/>
      <c r="I13" s="328"/>
      <c r="J13" s="328"/>
      <c r="K13" s="328"/>
      <c r="L13" s="328"/>
      <c r="M13" s="328"/>
      <c r="N13" s="328"/>
      <c r="O13" s="329"/>
    </row>
    <row r="14" spans="1:15" ht="15" customHeight="1" thickBot="1" x14ac:dyDescent="0.3">
      <c r="A14" s="319"/>
      <c r="B14" s="322"/>
      <c r="C14" s="322"/>
      <c r="D14" s="330" t="s">
        <v>50</v>
      </c>
      <c r="E14" s="331"/>
      <c r="F14" s="331"/>
      <c r="G14" s="332"/>
      <c r="H14" s="330" t="s">
        <v>54</v>
      </c>
      <c r="I14" s="331"/>
      <c r="J14" s="331"/>
      <c r="K14" s="332"/>
      <c r="L14" s="330" t="s">
        <v>58</v>
      </c>
      <c r="M14" s="331"/>
      <c r="N14" s="331"/>
      <c r="O14" s="332"/>
    </row>
    <row r="15" spans="1:15" ht="15" customHeight="1" thickBot="1" x14ac:dyDescent="0.3">
      <c r="A15" s="320"/>
      <c r="B15" s="323"/>
      <c r="C15" s="323"/>
      <c r="D15" s="61" t="s">
        <v>51</v>
      </c>
      <c r="E15" s="53" t="s">
        <v>52</v>
      </c>
      <c r="F15" s="53" t="s">
        <v>53</v>
      </c>
      <c r="G15" s="56" t="s">
        <v>38</v>
      </c>
      <c r="H15" s="55" t="s">
        <v>55</v>
      </c>
      <c r="I15" s="53" t="s">
        <v>56</v>
      </c>
      <c r="J15" s="53" t="s">
        <v>57</v>
      </c>
      <c r="K15" s="56" t="s">
        <v>42</v>
      </c>
      <c r="L15" s="55" t="s">
        <v>59</v>
      </c>
      <c r="M15" s="53" t="s">
        <v>60</v>
      </c>
      <c r="N15" s="53" t="s">
        <v>61</v>
      </c>
      <c r="O15" s="56" t="s">
        <v>46</v>
      </c>
    </row>
    <row r="16" spans="1:15" x14ac:dyDescent="0.25">
      <c r="A16" s="44">
        <v>1</v>
      </c>
      <c r="B16" s="45" t="str">
        <f>'LEGGER XII AKL'!B15</f>
        <v>Amelia</v>
      </c>
      <c r="C16" s="62" t="str">
        <f>'LEGGER XII AKL'!C15</f>
        <v>0068552301</v>
      </c>
      <c r="D16" s="34" t="s">
        <v>77</v>
      </c>
      <c r="E16" s="17" t="s">
        <v>77</v>
      </c>
      <c r="F16" s="17" t="s">
        <v>77</v>
      </c>
      <c r="G16" s="42" t="s">
        <v>77</v>
      </c>
      <c r="H16" s="34" t="s">
        <v>77</v>
      </c>
      <c r="I16" s="17" t="s">
        <v>77</v>
      </c>
      <c r="J16" s="17" t="s">
        <v>77</v>
      </c>
      <c r="K16" s="42" t="s">
        <v>77</v>
      </c>
      <c r="L16" s="34" t="s">
        <v>77</v>
      </c>
      <c r="M16" s="17" t="s">
        <v>77</v>
      </c>
      <c r="N16" s="17" t="s">
        <v>77</v>
      </c>
      <c r="O16" s="42" t="s">
        <v>77</v>
      </c>
    </row>
    <row r="17" spans="1:15" x14ac:dyDescent="0.25">
      <c r="A17" s="36">
        <v>2</v>
      </c>
      <c r="B17" s="29" t="str">
        <f>'LEGGER XII AKL'!B16</f>
        <v>Chrycen Rivia Disa</v>
      </c>
      <c r="C17" s="58" t="str">
        <f>'LEGGER XII AKL'!C16</f>
        <v>0076793345</v>
      </c>
      <c r="D17" s="34" t="s">
        <v>77</v>
      </c>
      <c r="E17" s="17" t="s">
        <v>77</v>
      </c>
      <c r="F17" s="17" t="s">
        <v>77</v>
      </c>
      <c r="G17" s="42" t="s">
        <v>77</v>
      </c>
      <c r="H17" s="34" t="s">
        <v>77</v>
      </c>
      <c r="I17" s="17" t="s">
        <v>77</v>
      </c>
      <c r="J17" s="17" t="s">
        <v>77</v>
      </c>
      <c r="K17" s="42" t="s">
        <v>77</v>
      </c>
      <c r="L17" s="34" t="s">
        <v>77</v>
      </c>
      <c r="M17" s="17" t="s">
        <v>77</v>
      </c>
      <c r="N17" s="17" t="s">
        <v>77</v>
      </c>
      <c r="O17" s="42" t="s">
        <v>77</v>
      </c>
    </row>
    <row r="18" spans="1:15" x14ac:dyDescent="0.25">
      <c r="A18" s="36">
        <v>3</v>
      </c>
      <c r="B18" s="29" t="str">
        <f>'LEGGER XII AKL'!B17</f>
        <v>Citra Attailah</v>
      </c>
      <c r="C18" s="58" t="str">
        <f>'LEGGER XII AKL'!C17</f>
        <v>0075546309</v>
      </c>
      <c r="D18" s="34" t="s">
        <v>77</v>
      </c>
      <c r="E18" s="17" t="s">
        <v>77</v>
      </c>
      <c r="F18" s="17" t="s">
        <v>77</v>
      </c>
      <c r="G18" s="42" t="s">
        <v>77</v>
      </c>
      <c r="H18" s="34" t="s">
        <v>77</v>
      </c>
      <c r="I18" s="17" t="s">
        <v>77</v>
      </c>
      <c r="J18" s="17" t="s">
        <v>77</v>
      </c>
      <c r="K18" s="42" t="s">
        <v>77</v>
      </c>
      <c r="L18" s="34" t="s">
        <v>77</v>
      </c>
      <c r="M18" s="17" t="s">
        <v>77</v>
      </c>
      <c r="N18" s="17" t="s">
        <v>77</v>
      </c>
      <c r="O18" s="42" t="s">
        <v>77</v>
      </c>
    </row>
    <row r="19" spans="1:15" x14ac:dyDescent="0.25">
      <c r="A19" s="36">
        <v>4</v>
      </c>
      <c r="B19" s="29" t="str">
        <f>'LEGGER XII AKL'!B18</f>
        <v>Dimas Setiawan</v>
      </c>
      <c r="C19" s="58" t="str">
        <f>'LEGGER XII AKL'!C18</f>
        <v>0073521089</v>
      </c>
      <c r="D19" s="34" t="s">
        <v>77</v>
      </c>
      <c r="E19" s="17" t="s">
        <v>77</v>
      </c>
      <c r="F19" s="17" t="s">
        <v>77</v>
      </c>
      <c r="G19" s="42" t="s">
        <v>77</v>
      </c>
      <c r="H19" s="34" t="s">
        <v>77</v>
      </c>
      <c r="I19" s="17" t="s">
        <v>77</v>
      </c>
      <c r="J19" s="17" t="s">
        <v>77</v>
      </c>
      <c r="K19" s="42" t="s">
        <v>77</v>
      </c>
      <c r="L19" s="34" t="s">
        <v>77</v>
      </c>
      <c r="M19" s="17" t="s">
        <v>77</v>
      </c>
      <c r="N19" s="17" t="s">
        <v>77</v>
      </c>
      <c r="O19" s="42" t="s">
        <v>77</v>
      </c>
    </row>
    <row r="20" spans="1:15" x14ac:dyDescent="0.25">
      <c r="A20" s="36">
        <v>5</v>
      </c>
      <c r="B20" s="29" t="str">
        <f>'LEGGER XII AKL'!B19</f>
        <v>Fadhil Ubaidillah</v>
      </c>
      <c r="C20" s="58" t="str">
        <f>'LEGGER XII AKL'!C19</f>
        <v>0063430650</v>
      </c>
      <c r="D20" s="34" t="s">
        <v>77</v>
      </c>
      <c r="E20" s="17" t="s">
        <v>77</v>
      </c>
      <c r="F20" s="17" t="s">
        <v>77</v>
      </c>
      <c r="G20" s="42" t="s">
        <v>77</v>
      </c>
      <c r="H20" s="34" t="s">
        <v>77</v>
      </c>
      <c r="I20" s="17" t="s">
        <v>77</v>
      </c>
      <c r="J20" s="17" t="s">
        <v>77</v>
      </c>
      <c r="K20" s="42" t="s">
        <v>77</v>
      </c>
      <c r="L20" s="34" t="s">
        <v>77</v>
      </c>
      <c r="M20" s="17" t="s">
        <v>77</v>
      </c>
      <c r="N20" s="17" t="s">
        <v>77</v>
      </c>
      <c r="O20" s="42" t="s">
        <v>77</v>
      </c>
    </row>
    <row r="21" spans="1:15" x14ac:dyDescent="0.25">
      <c r="A21" s="36">
        <v>6</v>
      </c>
      <c r="B21" s="29" t="str">
        <f>'LEGGER XII AKL'!B20</f>
        <v>Ferza Febriansyah</v>
      </c>
      <c r="C21" s="58" t="str">
        <f>'LEGGER XII AKL'!C20</f>
        <v>0071685041</v>
      </c>
      <c r="D21" s="34" t="s">
        <v>77</v>
      </c>
      <c r="E21" s="17" t="s">
        <v>77</v>
      </c>
      <c r="F21" s="17" t="s">
        <v>77</v>
      </c>
      <c r="G21" s="42" t="s">
        <v>77</v>
      </c>
      <c r="H21" s="34" t="s">
        <v>77</v>
      </c>
      <c r="I21" s="17" t="s">
        <v>77</v>
      </c>
      <c r="J21" s="17" t="s">
        <v>77</v>
      </c>
      <c r="K21" s="42" t="s">
        <v>77</v>
      </c>
      <c r="L21" s="34" t="s">
        <v>77</v>
      </c>
      <c r="M21" s="17" t="s">
        <v>77</v>
      </c>
      <c r="N21" s="17" t="s">
        <v>77</v>
      </c>
      <c r="O21" s="42" t="s">
        <v>77</v>
      </c>
    </row>
    <row r="22" spans="1:15" x14ac:dyDescent="0.25">
      <c r="A22" s="36">
        <v>7</v>
      </c>
      <c r="B22" s="29" t="str">
        <f>'LEGGER XII AKL'!B21</f>
        <v>Iqlimah Cahaya Mustika</v>
      </c>
      <c r="C22" s="58" t="str">
        <f>'LEGGER XII AKL'!C21</f>
        <v>0064268039</v>
      </c>
      <c r="D22" s="34" t="s">
        <v>77</v>
      </c>
      <c r="E22" s="17" t="s">
        <v>77</v>
      </c>
      <c r="F22" s="17" t="s">
        <v>77</v>
      </c>
      <c r="G22" s="42" t="s">
        <v>77</v>
      </c>
      <c r="H22" s="34" t="s">
        <v>77</v>
      </c>
      <c r="I22" s="17" t="s">
        <v>77</v>
      </c>
      <c r="J22" s="17" t="s">
        <v>77</v>
      </c>
      <c r="K22" s="42" t="s">
        <v>77</v>
      </c>
      <c r="L22" s="34" t="s">
        <v>77</v>
      </c>
      <c r="M22" s="17" t="s">
        <v>77</v>
      </c>
      <c r="N22" s="17" t="s">
        <v>77</v>
      </c>
      <c r="O22" s="42" t="s">
        <v>77</v>
      </c>
    </row>
    <row r="23" spans="1:15" x14ac:dyDescent="0.25">
      <c r="A23" s="36">
        <v>8</v>
      </c>
      <c r="B23" s="29" t="str">
        <f>'LEGGER XII AKL'!B22</f>
        <v>Irshal Rhama Aidillah</v>
      </c>
      <c r="C23" s="58" t="str">
        <f>'LEGGER XII AKL'!C22</f>
        <v>3074487136</v>
      </c>
      <c r="D23" s="34" t="s">
        <v>77</v>
      </c>
      <c r="E23" s="17" t="s">
        <v>77</v>
      </c>
      <c r="F23" s="17" t="s">
        <v>77</v>
      </c>
      <c r="G23" s="42" t="s">
        <v>77</v>
      </c>
      <c r="H23" s="34" t="s">
        <v>77</v>
      </c>
      <c r="I23" s="17" t="s">
        <v>77</v>
      </c>
      <c r="J23" s="17" t="s">
        <v>77</v>
      </c>
      <c r="K23" s="42" t="s">
        <v>77</v>
      </c>
      <c r="L23" s="34" t="s">
        <v>77</v>
      </c>
      <c r="M23" s="17" t="s">
        <v>77</v>
      </c>
      <c r="N23" s="17" t="s">
        <v>77</v>
      </c>
      <c r="O23" s="42" t="s">
        <v>77</v>
      </c>
    </row>
    <row r="24" spans="1:15" x14ac:dyDescent="0.25">
      <c r="A24" s="36">
        <v>9</v>
      </c>
      <c r="B24" s="29" t="str">
        <f>'LEGGER XII AKL'!B23</f>
        <v>Jingga Nur Qalam</v>
      </c>
      <c r="C24" s="58" t="str">
        <f>'LEGGER XII AKL'!C23</f>
        <v>0067481076</v>
      </c>
      <c r="D24" s="34" t="s">
        <v>77</v>
      </c>
      <c r="E24" s="17" t="s">
        <v>77</v>
      </c>
      <c r="F24" s="17" t="s">
        <v>77</v>
      </c>
      <c r="G24" s="42" t="s">
        <v>77</v>
      </c>
      <c r="H24" s="34" t="s">
        <v>77</v>
      </c>
      <c r="I24" s="17" t="s">
        <v>77</v>
      </c>
      <c r="J24" s="17" t="s">
        <v>77</v>
      </c>
      <c r="K24" s="42" t="s">
        <v>77</v>
      </c>
      <c r="L24" s="34" t="s">
        <v>77</v>
      </c>
      <c r="M24" s="17" t="s">
        <v>77</v>
      </c>
      <c r="N24" s="17" t="s">
        <v>77</v>
      </c>
      <c r="O24" s="42" t="s">
        <v>77</v>
      </c>
    </row>
    <row r="25" spans="1:15" x14ac:dyDescent="0.25">
      <c r="A25" s="36">
        <v>10</v>
      </c>
      <c r="B25" s="29" t="str">
        <f>'LEGGER XII AKL'!B24</f>
        <v>Karina Dwi Sagita</v>
      </c>
      <c r="C25" s="58" t="str">
        <f>'LEGGER XII AKL'!C24</f>
        <v>0057659388</v>
      </c>
      <c r="D25" s="34" t="s">
        <v>77</v>
      </c>
      <c r="E25" s="17" t="s">
        <v>77</v>
      </c>
      <c r="F25" s="17" t="s">
        <v>77</v>
      </c>
      <c r="G25" s="42" t="s">
        <v>77</v>
      </c>
      <c r="H25" s="34" t="s">
        <v>77</v>
      </c>
      <c r="I25" s="17" t="s">
        <v>77</v>
      </c>
      <c r="J25" s="17" t="s">
        <v>77</v>
      </c>
      <c r="K25" s="42" t="s">
        <v>77</v>
      </c>
      <c r="L25" s="34" t="s">
        <v>77</v>
      </c>
      <c r="M25" s="17" t="s">
        <v>77</v>
      </c>
      <c r="N25" s="17" t="s">
        <v>77</v>
      </c>
      <c r="O25" s="42" t="s">
        <v>77</v>
      </c>
    </row>
    <row r="26" spans="1:15" x14ac:dyDescent="0.25">
      <c r="A26" s="36">
        <v>11</v>
      </c>
      <c r="B26" s="29" t="str">
        <f>'LEGGER XII AKL'!B25</f>
        <v>Larasati</v>
      </c>
      <c r="C26" s="58" t="str">
        <f>'LEGGER XII AKL'!C25</f>
        <v>3073371186</v>
      </c>
      <c r="D26" s="34" t="s">
        <v>77</v>
      </c>
      <c r="E26" s="17" t="s">
        <v>77</v>
      </c>
      <c r="F26" s="17" t="s">
        <v>77</v>
      </c>
      <c r="G26" s="42" t="s">
        <v>77</v>
      </c>
      <c r="H26" s="34" t="s">
        <v>77</v>
      </c>
      <c r="I26" s="17" t="s">
        <v>77</v>
      </c>
      <c r="J26" s="17" t="s">
        <v>77</v>
      </c>
      <c r="K26" s="42" t="s">
        <v>77</v>
      </c>
      <c r="L26" s="34" t="s">
        <v>77</v>
      </c>
      <c r="M26" s="17" t="s">
        <v>77</v>
      </c>
      <c r="N26" s="17" t="s">
        <v>77</v>
      </c>
      <c r="O26" s="42" t="s">
        <v>77</v>
      </c>
    </row>
    <row r="27" spans="1:15" x14ac:dyDescent="0.25">
      <c r="A27" s="36">
        <v>12</v>
      </c>
      <c r="B27" s="29" t="str">
        <f>'LEGGER XII AKL'!B26</f>
        <v>Lia Apriyani</v>
      </c>
      <c r="C27" s="58" t="str">
        <f>'LEGGER XII AKL'!C26</f>
        <v>0074403542</v>
      </c>
      <c r="D27" s="34" t="s">
        <v>77</v>
      </c>
      <c r="E27" s="17" t="s">
        <v>77</v>
      </c>
      <c r="F27" s="17" t="s">
        <v>77</v>
      </c>
      <c r="G27" s="42" t="s">
        <v>77</v>
      </c>
      <c r="H27" s="34" t="s">
        <v>77</v>
      </c>
      <c r="I27" s="17" t="s">
        <v>77</v>
      </c>
      <c r="J27" s="17" t="s">
        <v>77</v>
      </c>
      <c r="K27" s="42" t="s">
        <v>77</v>
      </c>
      <c r="L27" s="34" t="s">
        <v>77</v>
      </c>
      <c r="M27" s="17" t="s">
        <v>77</v>
      </c>
      <c r="N27" s="17" t="s">
        <v>77</v>
      </c>
      <c r="O27" s="42" t="s">
        <v>77</v>
      </c>
    </row>
    <row r="28" spans="1:15" x14ac:dyDescent="0.25">
      <c r="A28" s="36">
        <v>13</v>
      </c>
      <c r="B28" s="29" t="str">
        <f>'LEGGER XII AKL'!B27</f>
        <v>Lulu Amanda</v>
      </c>
      <c r="C28" s="58" t="str">
        <f>'LEGGER XII AKL'!C27</f>
        <v>0078516371</v>
      </c>
      <c r="D28" s="34" t="s">
        <v>77</v>
      </c>
      <c r="E28" s="17" t="s">
        <v>77</v>
      </c>
      <c r="F28" s="17" t="s">
        <v>77</v>
      </c>
      <c r="G28" s="42" t="s">
        <v>77</v>
      </c>
      <c r="H28" s="34" t="s">
        <v>77</v>
      </c>
      <c r="I28" s="17" t="s">
        <v>77</v>
      </c>
      <c r="J28" s="17" t="s">
        <v>77</v>
      </c>
      <c r="K28" s="42" t="s">
        <v>77</v>
      </c>
      <c r="L28" s="34" t="s">
        <v>77</v>
      </c>
      <c r="M28" s="17" t="s">
        <v>77</v>
      </c>
      <c r="N28" s="17" t="s">
        <v>77</v>
      </c>
      <c r="O28" s="42" t="s">
        <v>77</v>
      </c>
    </row>
    <row r="29" spans="1:15" x14ac:dyDescent="0.25">
      <c r="A29" s="36">
        <v>14</v>
      </c>
      <c r="B29" s="29" t="str">
        <f>'LEGGER XII AKL'!B28</f>
        <v>Marsella</v>
      </c>
      <c r="C29" s="58" t="str">
        <f>'LEGGER XII AKL'!C28</f>
        <v>0068435867</v>
      </c>
      <c r="D29" s="34" t="s">
        <v>77</v>
      </c>
      <c r="E29" s="17" t="s">
        <v>77</v>
      </c>
      <c r="F29" s="17" t="s">
        <v>77</v>
      </c>
      <c r="G29" s="42" t="s">
        <v>77</v>
      </c>
      <c r="H29" s="34" t="s">
        <v>77</v>
      </c>
      <c r="I29" s="17" t="s">
        <v>77</v>
      </c>
      <c r="J29" s="17" t="s">
        <v>77</v>
      </c>
      <c r="K29" s="42" t="s">
        <v>77</v>
      </c>
      <c r="L29" s="34" t="s">
        <v>77</v>
      </c>
      <c r="M29" s="17" t="s">
        <v>77</v>
      </c>
      <c r="N29" s="17" t="s">
        <v>77</v>
      </c>
      <c r="O29" s="42" t="s">
        <v>77</v>
      </c>
    </row>
    <row r="30" spans="1:15" x14ac:dyDescent="0.25">
      <c r="A30" s="36">
        <v>15</v>
      </c>
      <c r="B30" s="29" t="str">
        <f>'LEGGER XII AKL'!B29</f>
        <v>Monica Nuraini</v>
      </c>
      <c r="C30" s="58" t="str">
        <f>'LEGGER XII AKL'!C29</f>
        <v>3074322550</v>
      </c>
      <c r="D30" s="34" t="s">
        <v>77</v>
      </c>
      <c r="E30" s="17" t="s">
        <v>77</v>
      </c>
      <c r="F30" s="17" t="s">
        <v>77</v>
      </c>
      <c r="G30" s="42" t="s">
        <v>77</v>
      </c>
      <c r="H30" s="34" t="s">
        <v>77</v>
      </c>
      <c r="I30" s="17" t="s">
        <v>77</v>
      </c>
      <c r="J30" s="17" t="s">
        <v>77</v>
      </c>
      <c r="K30" s="42" t="s">
        <v>77</v>
      </c>
      <c r="L30" s="34" t="s">
        <v>77</v>
      </c>
      <c r="M30" s="17" t="s">
        <v>77</v>
      </c>
      <c r="N30" s="17" t="s">
        <v>77</v>
      </c>
      <c r="O30" s="42" t="s">
        <v>77</v>
      </c>
    </row>
    <row r="31" spans="1:15" x14ac:dyDescent="0.25">
      <c r="A31" s="36">
        <v>16</v>
      </c>
      <c r="B31" s="29" t="str">
        <f>'LEGGER XII AKL'!B30</f>
        <v>Muhammad Rafa Zaidan</v>
      </c>
      <c r="C31" s="58" t="str">
        <f>'LEGGER XII AKL'!C30</f>
        <v>0078820397</v>
      </c>
      <c r="D31" s="34" t="s">
        <v>77</v>
      </c>
      <c r="E31" s="17" t="s">
        <v>77</v>
      </c>
      <c r="F31" s="17" t="s">
        <v>77</v>
      </c>
      <c r="G31" s="42" t="s">
        <v>77</v>
      </c>
      <c r="H31" s="34" t="s">
        <v>77</v>
      </c>
      <c r="I31" s="17" t="s">
        <v>77</v>
      </c>
      <c r="J31" s="17" t="s">
        <v>77</v>
      </c>
      <c r="K31" s="42" t="s">
        <v>77</v>
      </c>
      <c r="L31" s="34" t="s">
        <v>77</v>
      </c>
      <c r="M31" s="17" t="s">
        <v>77</v>
      </c>
      <c r="N31" s="17" t="s">
        <v>77</v>
      </c>
      <c r="O31" s="42" t="s">
        <v>77</v>
      </c>
    </row>
    <row r="32" spans="1:15" x14ac:dyDescent="0.25">
      <c r="A32" s="36">
        <v>17</v>
      </c>
      <c r="B32" s="29" t="str">
        <f>'LEGGER XII AKL'!B31</f>
        <v>Mutia Nurhapijah</v>
      </c>
      <c r="C32" s="58" t="str">
        <f>'LEGGER XII AKL'!C31</f>
        <v>0066903308</v>
      </c>
      <c r="D32" s="34" t="s">
        <v>77</v>
      </c>
      <c r="E32" s="17" t="s">
        <v>77</v>
      </c>
      <c r="F32" s="17" t="s">
        <v>77</v>
      </c>
      <c r="G32" s="42" t="s">
        <v>77</v>
      </c>
      <c r="H32" s="34" t="s">
        <v>77</v>
      </c>
      <c r="I32" s="17" t="s">
        <v>77</v>
      </c>
      <c r="J32" s="17" t="s">
        <v>77</v>
      </c>
      <c r="K32" s="42" t="s">
        <v>77</v>
      </c>
      <c r="L32" s="34" t="s">
        <v>77</v>
      </c>
      <c r="M32" s="17" t="s">
        <v>77</v>
      </c>
      <c r="N32" s="17" t="s">
        <v>77</v>
      </c>
      <c r="O32" s="42" t="s">
        <v>77</v>
      </c>
    </row>
    <row r="33" spans="1:15" x14ac:dyDescent="0.25">
      <c r="A33" s="36">
        <v>18</v>
      </c>
      <c r="B33" s="29" t="str">
        <f>'LEGGER XII AKL'!B32</f>
        <v>Nayla Adristi Permata</v>
      </c>
      <c r="C33" s="58" t="str">
        <f>'LEGGER XII AKL'!C32</f>
        <v>0069309541</v>
      </c>
      <c r="D33" s="34" t="s">
        <v>77</v>
      </c>
      <c r="E33" s="17" t="s">
        <v>77</v>
      </c>
      <c r="F33" s="17" t="s">
        <v>77</v>
      </c>
      <c r="G33" s="42" t="s">
        <v>77</v>
      </c>
      <c r="H33" s="34" t="s">
        <v>77</v>
      </c>
      <c r="I33" s="17" t="s">
        <v>77</v>
      </c>
      <c r="J33" s="17" t="s">
        <v>77</v>
      </c>
      <c r="K33" s="42" t="s">
        <v>77</v>
      </c>
      <c r="L33" s="34" t="s">
        <v>77</v>
      </c>
      <c r="M33" s="17" t="s">
        <v>77</v>
      </c>
      <c r="N33" s="17" t="s">
        <v>77</v>
      </c>
      <c r="O33" s="42" t="s">
        <v>77</v>
      </c>
    </row>
    <row r="34" spans="1:15" x14ac:dyDescent="0.25">
      <c r="A34" s="36">
        <v>19</v>
      </c>
      <c r="B34" s="29" t="str">
        <f>'LEGGER XII AKL'!B33</f>
        <v>Nazwa Inggrid Afiah</v>
      </c>
      <c r="C34" s="58" t="str">
        <f>'LEGGER XII AKL'!C33</f>
        <v>0074899472</v>
      </c>
      <c r="D34" s="34" t="s">
        <v>77</v>
      </c>
      <c r="E34" s="17" t="s">
        <v>77</v>
      </c>
      <c r="F34" s="17" t="s">
        <v>77</v>
      </c>
      <c r="G34" s="42" t="s">
        <v>77</v>
      </c>
      <c r="H34" s="34" t="s">
        <v>77</v>
      </c>
      <c r="I34" s="17" t="s">
        <v>77</v>
      </c>
      <c r="J34" s="17" t="s">
        <v>77</v>
      </c>
      <c r="K34" s="42" t="s">
        <v>77</v>
      </c>
      <c r="L34" s="34" t="s">
        <v>77</v>
      </c>
      <c r="M34" s="17" t="s">
        <v>77</v>
      </c>
      <c r="N34" s="17" t="s">
        <v>77</v>
      </c>
      <c r="O34" s="42" t="s">
        <v>77</v>
      </c>
    </row>
    <row r="35" spans="1:15" x14ac:dyDescent="0.25">
      <c r="A35" s="36">
        <v>20</v>
      </c>
      <c r="B35" s="29" t="str">
        <f>'LEGGER XII AKL'!B34</f>
        <v>Nikmatuz Zakiyah</v>
      </c>
      <c r="C35" s="58" t="str">
        <f>'LEGGER XII AKL'!C34</f>
        <v>0073236952</v>
      </c>
      <c r="D35" s="34" t="s">
        <v>77</v>
      </c>
      <c r="E35" s="17" t="s">
        <v>77</v>
      </c>
      <c r="F35" s="17" t="s">
        <v>77</v>
      </c>
      <c r="G35" s="42" t="s">
        <v>77</v>
      </c>
      <c r="H35" s="34" t="s">
        <v>77</v>
      </c>
      <c r="I35" s="17" t="s">
        <v>77</v>
      </c>
      <c r="J35" s="17" t="s">
        <v>77</v>
      </c>
      <c r="K35" s="42" t="s">
        <v>77</v>
      </c>
      <c r="L35" s="34" t="s">
        <v>77</v>
      </c>
      <c r="M35" s="17" t="s">
        <v>77</v>
      </c>
      <c r="N35" s="17" t="s">
        <v>77</v>
      </c>
      <c r="O35" s="42" t="s">
        <v>77</v>
      </c>
    </row>
    <row r="36" spans="1:15" x14ac:dyDescent="0.25">
      <c r="A36" s="36">
        <v>21</v>
      </c>
      <c r="B36" s="29" t="str">
        <f>'LEGGER XII AKL'!B35</f>
        <v>Novia Nabila</v>
      </c>
      <c r="C36" s="58" t="str">
        <f>'LEGGER XII AKL'!C35</f>
        <v>0063211372</v>
      </c>
      <c r="D36" s="34" t="s">
        <v>77</v>
      </c>
      <c r="E36" s="17" t="s">
        <v>77</v>
      </c>
      <c r="F36" s="17" t="s">
        <v>77</v>
      </c>
      <c r="G36" s="42" t="s">
        <v>77</v>
      </c>
      <c r="H36" s="34" t="s">
        <v>77</v>
      </c>
      <c r="I36" s="17" t="s">
        <v>77</v>
      </c>
      <c r="J36" s="17" t="s">
        <v>77</v>
      </c>
      <c r="K36" s="42" t="s">
        <v>77</v>
      </c>
      <c r="L36" s="34" t="s">
        <v>77</v>
      </c>
      <c r="M36" s="17" t="s">
        <v>77</v>
      </c>
      <c r="N36" s="17" t="s">
        <v>77</v>
      </c>
      <c r="O36" s="42" t="s">
        <v>77</v>
      </c>
    </row>
    <row r="37" spans="1:15" x14ac:dyDescent="0.25">
      <c r="A37" s="36">
        <v>22</v>
      </c>
      <c r="B37" s="29" t="str">
        <f>'LEGGER XII AKL'!B36</f>
        <v>Rafly Ardiansyah</v>
      </c>
      <c r="C37" s="58" t="str">
        <f>'LEGGER XII AKL'!C36</f>
        <v>0058145729</v>
      </c>
      <c r="D37" s="34" t="s">
        <v>77</v>
      </c>
      <c r="E37" s="17" t="s">
        <v>77</v>
      </c>
      <c r="F37" s="17" t="s">
        <v>77</v>
      </c>
      <c r="G37" s="42" t="s">
        <v>77</v>
      </c>
      <c r="H37" s="34" t="s">
        <v>77</v>
      </c>
      <c r="I37" s="17" t="s">
        <v>77</v>
      </c>
      <c r="J37" s="17" t="s">
        <v>77</v>
      </c>
      <c r="K37" s="42" t="s">
        <v>77</v>
      </c>
      <c r="L37" s="34" t="s">
        <v>77</v>
      </c>
      <c r="M37" s="17" t="s">
        <v>77</v>
      </c>
      <c r="N37" s="17" t="s">
        <v>77</v>
      </c>
      <c r="O37" s="42" t="s">
        <v>77</v>
      </c>
    </row>
    <row r="38" spans="1:15" x14ac:dyDescent="0.25">
      <c r="A38" s="36">
        <v>23</v>
      </c>
      <c r="B38" s="29" t="str">
        <f>'LEGGER XII AKL'!B37</f>
        <v>Ratu Ramadhania</v>
      </c>
      <c r="C38" s="58" t="str">
        <f>'LEGGER XII AKL'!C37</f>
        <v>0069672011</v>
      </c>
      <c r="D38" s="34" t="s">
        <v>77</v>
      </c>
      <c r="E38" s="17" t="s">
        <v>77</v>
      </c>
      <c r="F38" s="17" t="s">
        <v>77</v>
      </c>
      <c r="G38" s="42" t="s">
        <v>77</v>
      </c>
      <c r="H38" s="34" t="s">
        <v>77</v>
      </c>
      <c r="I38" s="17" t="s">
        <v>77</v>
      </c>
      <c r="J38" s="17" t="s">
        <v>77</v>
      </c>
      <c r="K38" s="42" t="s">
        <v>77</v>
      </c>
      <c r="L38" s="34" t="s">
        <v>77</v>
      </c>
      <c r="M38" s="17" t="s">
        <v>77</v>
      </c>
      <c r="N38" s="17" t="s">
        <v>77</v>
      </c>
      <c r="O38" s="42" t="s">
        <v>77</v>
      </c>
    </row>
    <row r="39" spans="1:15" x14ac:dyDescent="0.25">
      <c r="A39" s="36">
        <v>24</v>
      </c>
      <c r="B39" s="29" t="str">
        <f>'LEGGER XII AKL'!B38</f>
        <v>Rizky Intan Fahrani</v>
      </c>
      <c r="C39" s="58" t="str">
        <f>'LEGGER XII AKL'!C38</f>
        <v>3075648832</v>
      </c>
      <c r="D39" s="34" t="s">
        <v>77</v>
      </c>
      <c r="E39" s="17" t="s">
        <v>77</v>
      </c>
      <c r="F39" s="17" t="s">
        <v>77</v>
      </c>
      <c r="G39" s="42" t="s">
        <v>77</v>
      </c>
      <c r="H39" s="34" t="s">
        <v>77</v>
      </c>
      <c r="I39" s="17" t="s">
        <v>77</v>
      </c>
      <c r="J39" s="17" t="s">
        <v>77</v>
      </c>
      <c r="K39" s="42" t="s">
        <v>77</v>
      </c>
      <c r="L39" s="34" t="s">
        <v>77</v>
      </c>
      <c r="M39" s="17" t="s">
        <v>77</v>
      </c>
      <c r="N39" s="17" t="s">
        <v>77</v>
      </c>
      <c r="O39" s="42" t="s">
        <v>77</v>
      </c>
    </row>
    <row r="40" spans="1:15" x14ac:dyDescent="0.25">
      <c r="A40" s="36">
        <v>25</v>
      </c>
      <c r="B40" s="29" t="str">
        <f>'LEGGER XII AKL'!B39</f>
        <v>Salwa Fatimah Az-Zahra</v>
      </c>
      <c r="C40" s="58" t="str">
        <f>'LEGGER XII AKL'!C39</f>
        <v>0071228586</v>
      </c>
      <c r="D40" s="34" t="s">
        <v>77</v>
      </c>
      <c r="E40" s="17" t="s">
        <v>77</v>
      </c>
      <c r="F40" s="17" t="s">
        <v>77</v>
      </c>
      <c r="G40" s="42" t="s">
        <v>77</v>
      </c>
      <c r="H40" s="34" t="s">
        <v>77</v>
      </c>
      <c r="I40" s="17" t="s">
        <v>77</v>
      </c>
      <c r="J40" s="17" t="s">
        <v>77</v>
      </c>
      <c r="K40" s="42" t="s">
        <v>77</v>
      </c>
      <c r="L40" s="34" t="s">
        <v>77</v>
      </c>
      <c r="M40" s="17" t="s">
        <v>77</v>
      </c>
      <c r="N40" s="17" t="s">
        <v>77</v>
      </c>
      <c r="O40" s="42" t="s">
        <v>77</v>
      </c>
    </row>
    <row r="41" spans="1:15" x14ac:dyDescent="0.25">
      <c r="A41" s="36">
        <v>26</v>
      </c>
      <c r="B41" s="29" t="str">
        <f>'LEGGER XII AKL'!B40</f>
        <v>Salwa Salsabila</v>
      </c>
      <c r="C41" s="58" t="str">
        <f>'LEGGER XII AKL'!C40</f>
        <v>0066383402</v>
      </c>
      <c r="D41" s="34" t="s">
        <v>77</v>
      </c>
      <c r="E41" s="17" t="s">
        <v>77</v>
      </c>
      <c r="F41" s="17" t="s">
        <v>77</v>
      </c>
      <c r="G41" s="42" t="s">
        <v>77</v>
      </c>
      <c r="H41" s="34" t="s">
        <v>77</v>
      </c>
      <c r="I41" s="17" t="s">
        <v>77</v>
      </c>
      <c r="J41" s="17" t="s">
        <v>77</v>
      </c>
      <c r="K41" s="42" t="s">
        <v>77</v>
      </c>
      <c r="L41" s="34" t="s">
        <v>77</v>
      </c>
      <c r="M41" s="17" t="s">
        <v>77</v>
      </c>
      <c r="N41" s="17" t="s">
        <v>77</v>
      </c>
      <c r="O41" s="42" t="s">
        <v>77</v>
      </c>
    </row>
    <row r="42" spans="1:15" x14ac:dyDescent="0.25">
      <c r="A42" s="36">
        <v>27</v>
      </c>
      <c r="B42" s="29" t="str">
        <f>'LEGGER XII AKL'!B41</f>
        <v>Shalsabila Lesmana</v>
      </c>
      <c r="C42" s="58" t="str">
        <f>'LEGGER XII AKL'!C41</f>
        <v>0065632276</v>
      </c>
      <c r="D42" s="34" t="s">
        <v>77</v>
      </c>
      <c r="E42" s="17" t="s">
        <v>77</v>
      </c>
      <c r="F42" s="17" t="s">
        <v>77</v>
      </c>
      <c r="G42" s="42" t="s">
        <v>77</v>
      </c>
      <c r="H42" s="34" t="s">
        <v>77</v>
      </c>
      <c r="I42" s="17" t="s">
        <v>77</v>
      </c>
      <c r="J42" s="17" t="s">
        <v>77</v>
      </c>
      <c r="K42" s="42" t="s">
        <v>77</v>
      </c>
      <c r="L42" s="34" t="s">
        <v>77</v>
      </c>
      <c r="M42" s="17" t="s">
        <v>77</v>
      </c>
      <c r="N42" s="17" t="s">
        <v>77</v>
      </c>
      <c r="O42" s="42" t="s">
        <v>77</v>
      </c>
    </row>
    <row r="43" spans="1:15" x14ac:dyDescent="0.25">
      <c r="A43" s="36">
        <v>28</v>
      </c>
      <c r="B43" s="29" t="str">
        <f>'LEGGER XII AKL'!B42</f>
        <v>Siti Mutia Hanna</v>
      </c>
      <c r="C43" s="58" t="str">
        <f>'LEGGER XII AKL'!C42</f>
        <v>0062588903</v>
      </c>
      <c r="D43" s="34" t="s">
        <v>77</v>
      </c>
      <c r="E43" s="17" t="s">
        <v>77</v>
      </c>
      <c r="F43" s="17" t="s">
        <v>77</v>
      </c>
      <c r="G43" s="42" t="s">
        <v>77</v>
      </c>
      <c r="H43" s="34" t="s">
        <v>77</v>
      </c>
      <c r="I43" s="17" t="s">
        <v>77</v>
      </c>
      <c r="J43" s="17" t="s">
        <v>77</v>
      </c>
      <c r="K43" s="42" t="s">
        <v>77</v>
      </c>
      <c r="L43" s="34" t="s">
        <v>77</v>
      </c>
      <c r="M43" s="17" t="s">
        <v>77</v>
      </c>
      <c r="N43" s="17" t="s">
        <v>77</v>
      </c>
      <c r="O43" s="42" t="s">
        <v>77</v>
      </c>
    </row>
    <row r="44" spans="1:15" x14ac:dyDescent="0.25">
      <c r="A44" s="36">
        <v>29</v>
      </c>
      <c r="B44" s="29" t="str">
        <f>'LEGGER XII AKL'!B43</f>
        <v>Syafira Andhini Endah Muejiawati</v>
      </c>
      <c r="C44" s="58" t="str">
        <f>'LEGGER XII AKL'!C43</f>
        <v>0077798543</v>
      </c>
      <c r="D44" s="34" t="s">
        <v>77</v>
      </c>
      <c r="E44" s="17" t="s">
        <v>77</v>
      </c>
      <c r="F44" s="17" t="s">
        <v>77</v>
      </c>
      <c r="G44" s="42" t="s">
        <v>77</v>
      </c>
      <c r="H44" s="34" t="s">
        <v>77</v>
      </c>
      <c r="I44" s="17" t="s">
        <v>77</v>
      </c>
      <c r="J44" s="17" t="s">
        <v>77</v>
      </c>
      <c r="K44" s="42" t="s">
        <v>77</v>
      </c>
      <c r="L44" s="34" t="s">
        <v>77</v>
      </c>
      <c r="M44" s="17" t="s">
        <v>77</v>
      </c>
      <c r="N44" s="17" t="s">
        <v>77</v>
      </c>
      <c r="O44" s="42" t="s">
        <v>77</v>
      </c>
    </row>
    <row r="45" spans="1:15" x14ac:dyDescent="0.25">
      <c r="A45" s="36">
        <v>30</v>
      </c>
      <c r="B45" s="29" t="str">
        <f>'LEGGER XII AKL'!B44</f>
        <v>Thoriq Ahmad Muzafran</v>
      </c>
      <c r="C45" s="58" t="str">
        <f>'LEGGER XII AKL'!C44</f>
        <v>3054086042</v>
      </c>
      <c r="D45" s="34" t="s">
        <v>77</v>
      </c>
      <c r="E45" s="17" t="s">
        <v>77</v>
      </c>
      <c r="F45" s="17" t="s">
        <v>77</v>
      </c>
      <c r="G45" s="42" t="s">
        <v>77</v>
      </c>
      <c r="H45" s="34" t="s">
        <v>77</v>
      </c>
      <c r="I45" s="17" t="s">
        <v>77</v>
      </c>
      <c r="J45" s="17" t="s">
        <v>77</v>
      </c>
      <c r="K45" s="42" t="s">
        <v>77</v>
      </c>
      <c r="L45" s="34" t="s">
        <v>77</v>
      </c>
      <c r="M45" s="17" t="s">
        <v>77</v>
      </c>
      <c r="N45" s="17" t="s">
        <v>77</v>
      </c>
      <c r="O45" s="42" t="s">
        <v>77</v>
      </c>
    </row>
    <row r="46" spans="1:15" x14ac:dyDescent="0.25">
      <c r="A46" s="36">
        <v>31</v>
      </c>
      <c r="B46" s="29" t="str">
        <f>'LEGGER XII AKL'!B45</f>
        <v>Vadyllah Zhara</v>
      </c>
      <c r="C46" s="58" t="str">
        <f>'LEGGER XII AKL'!C45</f>
        <v>0078314869</v>
      </c>
      <c r="D46" s="34" t="s">
        <v>77</v>
      </c>
      <c r="E46" s="17" t="s">
        <v>77</v>
      </c>
      <c r="F46" s="17" t="s">
        <v>77</v>
      </c>
      <c r="G46" s="42" t="s">
        <v>77</v>
      </c>
      <c r="H46" s="34" t="s">
        <v>77</v>
      </c>
      <c r="I46" s="17" t="s">
        <v>77</v>
      </c>
      <c r="J46" s="17" t="s">
        <v>77</v>
      </c>
      <c r="K46" s="42" t="s">
        <v>77</v>
      </c>
      <c r="L46" s="34" t="s">
        <v>77</v>
      </c>
      <c r="M46" s="17" t="s">
        <v>77</v>
      </c>
      <c r="N46" s="17" t="s">
        <v>77</v>
      </c>
      <c r="O46" s="42" t="s">
        <v>77</v>
      </c>
    </row>
    <row r="47" spans="1:15" x14ac:dyDescent="0.25">
      <c r="A47" s="36">
        <v>32</v>
      </c>
      <c r="B47" s="29" t="str">
        <f>'LEGGER XII AKL'!B46</f>
        <v>Zafira Raysa Umar</v>
      </c>
      <c r="C47" s="58" t="str">
        <f>'LEGGER XII AKL'!C46</f>
        <v>0073130066</v>
      </c>
      <c r="D47" s="34" t="s">
        <v>77</v>
      </c>
      <c r="E47" s="17" t="s">
        <v>77</v>
      </c>
      <c r="F47" s="17" t="s">
        <v>77</v>
      </c>
      <c r="G47" s="42" t="s">
        <v>77</v>
      </c>
      <c r="H47" s="34" t="s">
        <v>77</v>
      </c>
      <c r="I47" s="17" t="s">
        <v>77</v>
      </c>
      <c r="J47" s="17" t="s">
        <v>77</v>
      </c>
      <c r="K47" s="42" t="s">
        <v>77</v>
      </c>
      <c r="L47" s="34" t="s">
        <v>77</v>
      </c>
      <c r="M47" s="17" t="s">
        <v>77</v>
      </c>
      <c r="N47" s="17" t="s">
        <v>77</v>
      </c>
      <c r="O47" s="42" t="s">
        <v>77</v>
      </c>
    </row>
    <row r="48" spans="1:15" x14ac:dyDescent="0.25">
      <c r="A48" s="36">
        <v>33</v>
      </c>
      <c r="B48" s="29">
        <f>'LEGGER XII AKL'!B47</f>
        <v>0</v>
      </c>
      <c r="C48" s="58">
        <f>'LEGGER XII AKL'!C47</f>
        <v>0</v>
      </c>
      <c r="D48" s="34" t="s">
        <v>77</v>
      </c>
      <c r="E48" s="17" t="s">
        <v>77</v>
      </c>
      <c r="F48" s="17" t="s">
        <v>77</v>
      </c>
      <c r="G48" s="42" t="s">
        <v>77</v>
      </c>
      <c r="H48" s="34" t="s">
        <v>77</v>
      </c>
      <c r="I48" s="17" t="s">
        <v>77</v>
      </c>
      <c r="J48" s="17" t="s">
        <v>77</v>
      </c>
      <c r="K48" s="42" t="s">
        <v>77</v>
      </c>
      <c r="L48" s="34" t="s">
        <v>77</v>
      </c>
      <c r="M48" s="17" t="s">
        <v>77</v>
      </c>
      <c r="N48" s="17" t="s">
        <v>77</v>
      </c>
      <c r="O48" s="42" t="s">
        <v>77</v>
      </c>
    </row>
    <row r="49" spans="1:15" x14ac:dyDescent="0.25">
      <c r="A49" s="36">
        <v>34</v>
      </c>
      <c r="B49" s="29">
        <f>'LEGGER XII AKL'!B48</f>
        <v>0</v>
      </c>
      <c r="C49" s="58">
        <f>'LEGGER XII AKL'!C48</f>
        <v>0</v>
      </c>
      <c r="D49" s="34" t="s">
        <v>77</v>
      </c>
      <c r="E49" s="17" t="s">
        <v>77</v>
      </c>
      <c r="F49" s="17" t="s">
        <v>77</v>
      </c>
      <c r="G49" s="42" t="s">
        <v>77</v>
      </c>
      <c r="H49" s="34" t="s">
        <v>77</v>
      </c>
      <c r="I49" s="17" t="s">
        <v>77</v>
      </c>
      <c r="J49" s="17" t="s">
        <v>77</v>
      </c>
      <c r="K49" s="42" t="s">
        <v>77</v>
      </c>
      <c r="L49" s="34" t="s">
        <v>77</v>
      </c>
      <c r="M49" s="17" t="s">
        <v>77</v>
      </c>
      <c r="N49" s="17" t="s">
        <v>77</v>
      </c>
      <c r="O49" s="42" t="s">
        <v>77</v>
      </c>
    </row>
    <row r="50" spans="1:15" x14ac:dyDescent="0.25">
      <c r="A50" s="36">
        <v>35</v>
      </c>
      <c r="B50" s="29">
        <f>'LEGGER XII AKL'!B49</f>
        <v>0</v>
      </c>
      <c r="C50" s="58">
        <f>'LEGGER XII AKL'!C49</f>
        <v>0</v>
      </c>
      <c r="D50" s="34" t="s">
        <v>77</v>
      </c>
      <c r="E50" s="17" t="s">
        <v>77</v>
      </c>
      <c r="F50" s="17" t="s">
        <v>77</v>
      </c>
      <c r="G50" s="42" t="s">
        <v>77</v>
      </c>
      <c r="H50" s="34" t="s">
        <v>77</v>
      </c>
      <c r="I50" s="17" t="s">
        <v>77</v>
      </c>
      <c r="J50" s="17" t="s">
        <v>77</v>
      </c>
      <c r="K50" s="42" t="s">
        <v>77</v>
      </c>
      <c r="L50" s="34" t="s">
        <v>77</v>
      </c>
      <c r="M50" s="17" t="s">
        <v>77</v>
      </c>
      <c r="N50" s="17" t="s">
        <v>77</v>
      </c>
      <c r="O50" s="42" t="s">
        <v>77</v>
      </c>
    </row>
    <row r="51" spans="1:15" x14ac:dyDescent="0.25">
      <c r="A51" s="36">
        <v>36</v>
      </c>
      <c r="B51" s="29">
        <f>'LEGGER XII AKL'!B50</f>
        <v>0</v>
      </c>
      <c r="C51" s="58">
        <f>'LEGGER XII AKL'!C50</f>
        <v>0</v>
      </c>
      <c r="D51" s="34" t="s">
        <v>77</v>
      </c>
      <c r="E51" s="17" t="s">
        <v>77</v>
      </c>
      <c r="F51" s="17" t="s">
        <v>77</v>
      </c>
      <c r="G51" s="42" t="s">
        <v>77</v>
      </c>
      <c r="H51" s="34" t="s">
        <v>77</v>
      </c>
      <c r="I51" s="17" t="s">
        <v>77</v>
      </c>
      <c r="J51" s="17" t="s">
        <v>77</v>
      </c>
      <c r="K51" s="42" t="s">
        <v>77</v>
      </c>
      <c r="L51" s="34" t="s">
        <v>77</v>
      </c>
      <c r="M51" s="17" t="s">
        <v>77</v>
      </c>
      <c r="N51" s="17" t="s">
        <v>77</v>
      </c>
      <c r="O51" s="42" t="s">
        <v>77</v>
      </c>
    </row>
    <row r="52" spans="1:15" x14ac:dyDescent="0.25">
      <c r="A52" s="36">
        <v>37</v>
      </c>
      <c r="B52" s="29">
        <f>'LEGGER XII AKL'!B51</f>
        <v>0</v>
      </c>
      <c r="C52" s="58">
        <f>'LEGGER XII AKL'!C51</f>
        <v>0</v>
      </c>
      <c r="D52" s="34" t="s">
        <v>77</v>
      </c>
      <c r="E52" s="17" t="s">
        <v>77</v>
      </c>
      <c r="F52" s="17" t="s">
        <v>77</v>
      </c>
      <c r="G52" s="42" t="s">
        <v>77</v>
      </c>
      <c r="H52" s="34" t="s">
        <v>77</v>
      </c>
      <c r="I52" s="17" t="s">
        <v>77</v>
      </c>
      <c r="J52" s="17" t="s">
        <v>77</v>
      </c>
      <c r="K52" s="42" t="s">
        <v>77</v>
      </c>
      <c r="L52" s="34" t="s">
        <v>77</v>
      </c>
      <c r="M52" s="17" t="s">
        <v>77</v>
      </c>
      <c r="N52" s="17" t="s">
        <v>77</v>
      </c>
      <c r="O52" s="42" t="s">
        <v>77</v>
      </c>
    </row>
    <row r="53" spans="1:15" x14ac:dyDescent="0.25">
      <c r="A53" s="36">
        <v>38</v>
      </c>
      <c r="B53" s="29">
        <f>'LEGGER XII AKL'!B52</f>
        <v>0</v>
      </c>
      <c r="C53" s="58">
        <f>'LEGGER XII AKL'!C52</f>
        <v>0</v>
      </c>
      <c r="D53" s="34" t="s">
        <v>77</v>
      </c>
      <c r="E53" s="17" t="s">
        <v>77</v>
      </c>
      <c r="F53" s="17" t="s">
        <v>77</v>
      </c>
      <c r="G53" s="42" t="s">
        <v>77</v>
      </c>
      <c r="H53" s="34" t="s">
        <v>77</v>
      </c>
      <c r="I53" s="17" t="s">
        <v>77</v>
      </c>
      <c r="J53" s="17" t="s">
        <v>77</v>
      </c>
      <c r="K53" s="42" t="s">
        <v>77</v>
      </c>
      <c r="L53" s="34" t="s">
        <v>77</v>
      </c>
      <c r="M53" s="17" t="s">
        <v>77</v>
      </c>
      <c r="N53" s="17" t="s">
        <v>77</v>
      </c>
      <c r="O53" s="42" t="s">
        <v>77</v>
      </c>
    </row>
    <row r="54" spans="1:15" x14ac:dyDescent="0.25">
      <c r="A54" s="36">
        <v>39</v>
      </c>
      <c r="B54" s="29">
        <f>'LEGGER XII AKL'!B53</f>
        <v>0</v>
      </c>
      <c r="C54" s="58">
        <f>'LEGGER XII AKL'!C53</f>
        <v>0</v>
      </c>
      <c r="D54" s="34" t="s">
        <v>77</v>
      </c>
      <c r="E54" s="17" t="s">
        <v>77</v>
      </c>
      <c r="F54" s="17" t="s">
        <v>77</v>
      </c>
      <c r="G54" s="42" t="s">
        <v>77</v>
      </c>
      <c r="H54" s="34" t="s">
        <v>77</v>
      </c>
      <c r="I54" s="17" t="s">
        <v>77</v>
      </c>
      <c r="J54" s="17" t="s">
        <v>77</v>
      </c>
      <c r="K54" s="42" t="s">
        <v>77</v>
      </c>
      <c r="L54" s="34" t="s">
        <v>77</v>
      </c>
      <c r="M54" s="17" t="s">
        <v>77</v>
      </c>
      <c r="N54" s="17" t="s">
        <v>77</v>
      </c>
      <c r="O54" s="42" t="s">
        <v>77</v>
      </c>
    </row>
    <row r="55" spans="1:15" x14ac:dyDescent="0.25">
      <c r="A55" s="36">
        <v>40</v>
      </c>
      <c r="B55" s="29">
        <f>'LEGGER XII AKL'!B54</f>
        <v>0</v>
      </c>
      <c r="C55" s="58">
        <f>'LEGGER XII AKL'!C54</f>
        <v>0</v>
      </c>
      <c r="D55" s="34" t="s">
        <v>77</v>
      </c>
      <c r="E55" s="17" t="s">
        <v>77</v>
      </c>
      <c r="F55" s="17" t="s">
        <v>77</v>
      </c>
      <c r="G55" s="42" t="s">
        <v>77</v>
      </c>
      <c r="H55" s="34" t="s">
        <v>77</v>
      </c>
      <c r="I55" s="17" t="s">
        <v>77</v>
      </c>
      <c r="J55" s="17" t="s">
        <v>77</v>
      </c>
      <c r="K55" s="42" t="s">
        <v>77</v>
      </c>
      <c r="L55" s="34" t="s">
        <v>77</v>
      </c>
      <c r="M55" s="17" t="s">
        <v>77</v>
      </c>
      <c r="N55" s="17" t="s">
        <v>77</v>
      </c>
      <c r="O55" s="42" t="s">
        <v>77</v>
      </c>
    </row>
    <row r="56" spans="1:15" x14ac:dyDescent="0.25">
      <c r="A56" s="36">
        <v>41</v>
      </c>
      <c r="B56" s="29">
        <f>'LEGGER XII AKL'!B55</f>
        <v>0</v>
      </c>
      <c r="C56" s="58">
        <f>'LEGGER XII AKL'!C55</f>
        <v>0</v>
      </c>
      <c r="D56" s="34" t="s">
        <v>77</v>
      </c>
      <c r="E56" s="17" t="s">
        <v>77</v>
      </c>
      <c r="F56" s="17" t="s">
        <v>77</v>
      </c>
      <c r="G56" s="42" t="s">
        <v>77</v>
      </c>
      <c r="H56" s="34" t="s">
        <v>77</v>
      </c>
      <c r="I56" s="17" t="s">
        <v>77</v>
      </c>
      <c r="J56" s="17" t="s">
        <v>77</v>
      </c>
      <c r="K56" s="42" t="s">
        <v>77</v>
      </c>
      <c r="L56" s="34" t="s">
        <v>77</v>
      </c>
      <c r="M56" s="17" t="s">
        <v>77</v>
      </c>
      <c r="N56" s="17" t="s">
        <v>77</v>
      </c>
      <c r="O56" s="42" t="s">
        <v>77</v>
      </c>
    </row>
    <row r="57" spans="1:15" x14ac:dyDescent="0.25">
      <c r="A57" s="36">
        <v>42</v>
      </c>
      <c r="B57" s="29">
        <f>'LEGGER XII AKL'!B56</f>
        <v>0</v>
      </c>
      <c r="C57" s="58">
        <f>'LEGGER XII AKL'!C56</f>
        <v>0</v>
      </c>
      <c r="D57" s="34" t="s">
        <v>77</v>
      </c>
      <c r="E57" s="17" t="s">
        <v>77</v>
      </c>
      <c r="F57" s="17" t="s">
        <v>77</v>
      </c>
      <c r="G57" s="42" t="s">
        <v>77</v>
      </c>
      <c r="H57" s="34" t="s">
        <v>77</v>
      </c>
      <c r="I57" s="17" t="s">
        <v>77</v>
      </c>
      <c r="J57" s="17" t="s">
        <v>77</v>
      </c>
      <c r="K57" s="42" t="s">
        <v>77</v>
      </c>
      <c r="L57" s="34" t="s">
        <v>77</v>
      </c>
      <c r="M57" s="17" t="s">
        <v>77</v>
      </c>
      <c r="N57" s="17" t="s">
        <v>77</v>
      </c>
      <c r="O57" s="42" t="s">
        <v>77</v>
      </c>
    </row>
    <row r="58" spans="1:15" x14ac:dyDescent="0.25">
      <c r="A58" s="36">
        <v>43</v>
      </c>
      <c r="B58" s="29">
        <f>'LEGGER XII AKL'!B57</f>
        <v>0</v>
      </c>
      <c r="C58" s="58">
        <f>'LEGGER XII AKL'!C57</f>
        <v>0</v>
      </c>
      <c r="D58" s="34" t="s">
        <v>77</v>
      </c>
      <c r="E58" s="17" t="s">
        <v>77</v>
      </c>
      <c r="F58" s="17" t="s">
        <v>77</v>
      </c>
      <c r="G58" s="42" t="s">
        <v>77</v>
      </c>
      <c r="H58" s="34" t="s">
        <v>77</v>
      </c>
      <c r="I58" s="17" t="s">
        <v>77</v>
      </c>
      <c r="J58" s="17" t="s">
        <v>77</v>
      </c>
      <c r="K58" s="42" t="s">
        <v>77</v>
      </c>
      <c r="L58" s="34" t="s">
        <v>77</v>
      </c>
      <c r="M58" s="17" t="s">
        <v>77</v>
      </c>
      <c r="N58" s="17" t="s">
        <v>77</v>
      </c>
      <c r="O58" s="42" t="s">
        <v>77</v>
      </c>
    </row>
    <row r="59" spans="1:15" x14ac:dyDescent="0.25">
      <c r="A59" s="36">
        <v>44</v>
      </c>
      <c r="B59" s="29">
        <f>'LEGGER XII AKL'!B58</f>
        <v>0</v>
      </c>
      <c r="C59" s="58">
        <f>'LEGGER XII AKL'!C58</f>
        <v>0</v>
      </c>
      <c r="D59" s="34" t="s">
        <v>77</v>
      </c>
      <c r="E59" s="17" t="s">
        <v>77</v>
      </c>
      <c r="F59" s="17" t="s">
        <v>77</v>
      </c>
      <c r="G59" s="42" t="s">
        <v>77</v>
      </c>
      <c r="H59" s="34" t="s">
        <v>77</v>
      </c>
      <c r="I59" s="17" t="s">
        <v>77</v>
      </c>
      <c r="J59" s="17" t="s">
        <v>77</v>
      </c>
      <c r="K59" s="42" t="s">
        <v>77</v>
      </c>
      <c r="L59" s="34" t="s">
        <v>77</v>
      </c>
      <c r="M59" s="17" t="s">
        <v>77</v>
      </c>
      <c r="N59" s="17" t="s">
        <v>77</v>
      </c>
      <c r="O59" s="42" t="s">
        <v>77</v>
      </c>
    </row>
    <row r="60" spans="1:15" ht="16.5" thickBot="1" x14ac:dyDescent="0.3">
      <c r="A60" s="22">
        <v>45</v>
      </c>
      <c r="B60" s="23">
        <f>'LEGGER XII AKL'!B59</f>
        <v>0</v>
      </c>
      <c r="C60" s="59">
        <f>'LEGGER XII AKL'!C59</f>
        <v>0</v>
      </c>
      <c r="D60" s="35" t="s">
        <v>77</v>
      </c>
      <c r="E60" s="39" t="s">
        <v>77</v>
      </c>
      <c r="F60" s="39" t="s">
        <v>77</v>
      </c>
      <c r="G60" s="43" t="s">
        <v>77</v>
      </c>
      <c r="H60" s="35" t="s">
        <v>77</v>
      </c>
      <c r="I60" s="39" t="s">
        <v>77</v>
      </c>
      <c r="J60" s="39" t="s">
        <v>77</v>
      </c>
      <c r="K60" s="43" t="s">
        <v>77</v>
      </c>
      <c r="L60" s="35" t="s">
        <v>77</v>
      </c>
      <c r="M60" s="39" t="s">
        <v>77</v>
      </c>
      <c r="N60" s="39" t="s">
        <v>77</v>
      </c>
      <c r="O60" s="43" t="s">
        <v>77</v>
      </c>
    </row>
  </sheetData>
  <mergeCells count="7">
    <mergeCell ref="H14:K14"/>
    <mergeCell ref="L14:O14"/>
    <mergeCell ref="A13:A15"/>
    <mergeCell ref="B13:B15"/>
    <mergeCell ref="C13:C15"/>
    <mergeCell ref="D13:O13"/>
    <mergeCell ref="D14:G14"/>
  </mergeCells>
  <pageMargins left="0.7" right="0.7" top="0.75" bottom="0.75" header="0.3" footer="0.3"/>
  <pageSetup paperSize="9" scale="76" orientation="portrait" horizontalDpi="4294967293" verticalDpi="0" r:id="rId1"/>
  <colBreaks count="1" manualBreakCount="1">
    <brk id="7"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5"/>
  </sheetPr>
  <dimension ref="A2:O14"/>
  <sheetViews>
    <sheetView topLeftCell="A5" zoomScale="110" zoomScaleNormal="110" workbookViewId="0">
      <selection activeCell="A5" sqref="A5"/>
    </sheetView>
  </sheetViews>
  <sheetFormatPr defaultColWidth="8.75" defaultRowHeight="15.75" x14ac:dyDescent="0.25"/>
  <cols>
    <col min="1" max="1" width="3.875" style="1" customWidth="1"/>
    <col min="2" max="2" width="9.5" style="1" customWidth="1"/>
    <col min="3" max="3" width="14.5" style="1" customWidth="1"/>
    <col min="4" max="6" width="45.625" style="1" customWidth="1"/>
    <col min="7" max="9" width="45.625" style="1" hidden="1" customWidth="1"/>
    <col min="10" max="15" width="45.625" style="1" customWidth="1"/>
    <col min="16" max="16384" width="8.75" style="1"/>
  </cols>
  <sheetData>
    <row r="2" spans="1:15" ht="25.5" x14ac:dyDescent="0.35">
      <c r="A2" s="7" t="s">
        <v>148</v>
      </c>
      <c r="F2" s="125" t="s">
        <v>162</v>
      </c>
    </row>
    <row r="3" spans="1:15" ht="25.5" x14ac:dyDescent="0.35">
      <c r="A3" s="7" t="s">
        <v>179</v>
      </c>
    </row>
    <row r="4" spans="1:15" ht="26.25" x14ac:dyDescent="0.4">
      <c r="A4" s="7" t="s">
        <v>154</v>
      </c>
      <c r="E4" s="13"/>
    </row>
    <row r="6" spans="1:15" hidden="1" x14ac:dyDescent="0.25">
      <c r="B6" s="11">
        <v>1</v>
      </c>
      <c r="C6" s="11">
        <v>2</v>
      </c>
      <c r="D6" s="11">
        <v>3</v>
      </c>
      <c r="E6" s="11">
        <v>4</v>
      </c>
      <c r="F6" s="11">
        <v>5</v>
      </c>
      <c r="G6" s="11">
        <v>6</v>
      </c>
      <c r="H6" s="11">
        <v>7</v>
      </c>
      <c r="I6" s="11">
        <v>8</v>
      </c>
      <c r="J6" s="11">
        <v>9</v>
      </c>
      <c r="K6" s="11">
        <v>10</v>
      </c>
      <c r="L6" s="11">
        <v>11</v>
      </c>
      <c r="M6" s="11">
        <v>12</v>
      </c>
      <c r="N6" s="11">
        <v>13</v>
      </c>
      <c r="O6" s="11">
        <v>14</v>
      </c>
    </row>
    <row r="8" spans="1:15" ht="15.6" customHeight="1" x14ac:dyDescent="0.25">
      <c r="A8" s="333" t="s">
        <v>5</v>
      </c>
      <c r="B8" s="333" t="s">
        <v>87</v>
      </c>
      <c r="C8" s="333" t="s">
        <v>34</v>
      </c>
      <c r="D8" s="6" t="s">
        <v>110</v>
      </c>
      <c r="E8" s="76" t="s">
        <v>111</v>
      </c>
      <c r="F8" s="76" t="s">
        <v>112</v>
      </c>
      <c r="G8" s="76" t="s">
        <v>113</v>
      </c>
      <c r="H8" s="76" t="s">
        <v>114</v>
      </c>
      <c r="I8" s="76" t="s">
        <v>115</v>
      </c>
      <c r="J8" s="76" t="s">
        <v>116</v>
      </c>
      <c r="K8" s="76" t="s">
        <v>117</v>
      </c>
      <c r="L8" s="76" t="s">
        <v>118</v>
      </c>
      <c r="M8" s="76" t="s">
        <v>119</v>
      </c>
      <c r="N8" s="76" t="s">
        <v>120</v>
      </c>
      <c r="O8" s="76" t="s">
        <v>121</v>
      </c>
    </row>
    <row r="9" spans="1:15" x14ac:dyDescent="0.25">
      <c r="A9" s="333"/>
      <c r="B9" s="333"/>
      <c r="C9" s="333"/>
      <c r="D9" s="6" t="str">
        <f>'RAPORT XIIAKL '!C14</f>
        <v>Pendidikan Agama dan Budi Pekerti</v>
      </c>
      <c r="E9" s="6" t="str">
        <f>'RAPORT XIIAKL '!C15</f>
        <v xml:space="preserve">Pendidikan Pancasila </v>
      </c>
      <c r="F9" s="6" t="str">
        <f>'RAPORT XIIAKL '!C16</f>
        <v>Bahasa Indonesia</v>
      </c>
      <c r="G9" s="6" t="str">
        <f>'RAPORT XIIAKL '!C17</f>
        <v>Pendidikan Jasmani, Olahraga dan Kesehatan</v>
      </c>
      <c r="H9" s="6" t="str">
        <f>'RAPORT XIIAKL '!C18</f>
        <v>Sejarah</v>
      </c>
      <c r="I9" s="6" t="str">
        <f>'RAPORT XIIAKL '!C19</f>
        <v>Seni Budaya</v>
      </c>
      <c r="J9" s="6" t="str">
        <f>'RAPORT XIIAKL '!C21</f>
        <v>Matematika</v>
      </c>
      <c r="K9" s="6" t="str">
        <f>'RAPORT XIIAKL '!C22</f>
        <v>Bahasa Inggris</v>
      </c>
      <c r="L9" s="6" t="str">
        <f>'RAPORT XIIAKL '!C23</f>
        <v>Konsentrasi Keahlian</v>
      </c>
      <c r="M9" s="6" t="str">
        <f>'RAPORT XIIAKL '!C24</f>
        <v>Projek Kreatif dan Kewirausahaan</v>
      </c>
      <c r="N9" s="76" t="str">
        <f>'RAPORT XIIAKL '!C25</f>
        <v>Mata Pelajaran Pilhan (Spreadsheet)</v>
      </c>
      <c r="O9" s="93" t="str">
        <f>'RAPORT XIIAKL '!C27</f>
        <v>Dasar Design Grafis</v>
      </c>
    </row>
    <row r="10" spans="1:15" ht="110.25" customHeight="1" x14ac:dyDescent="0.25">
      <c r="A10" s="3">
        <v>1</v>
      </c>
      <c r="B10" s="6" t="s">
        <v>88</v>
      </c>
      <c r="C10" s="5" t="s">
        <v>150</v>
      </c>
      <c r="D10" s="12" t="s">
        <v>285</v>
      </c>
      <c r="E10" s="12" t="s">
        <v>262</v>
      </c>
      <c r="F10" s="12" t="s">
        <v>266</v>
      </c>
      <c r="G10" s="12" t="s">
        <v>123</v>
      </c>
      <c r="H10" s="12" t="s">
        <v>122</v>
      </c>
      <c r="I10" s="12" t="s">
        <v>124</v>
      </c>
      <c r="J10" s="12" t="s">
        <v>258</v>
      </c>
      <c r="K10" s="12" t="s">
        <v>254</v>
      </c>
      <c r="L10" s="12" t="s">
        <v>250</v>
      </c>
      <c r="M10" s="172" t="s">
        <v>276</v>
      </c>
      <c r="N10" s="12" t="s">
        <v>270</v>
      </c>
      <c r="O10" s="12" t="s">
        <v>280</v>
      </c>
    </row>
    <row r="11" spans="1:15" ht="110.25" customHeight="1" x14ac:dyDescent="0.25">
      <c r="A11" s="3">
        <v>2</v>
      </c>
      <c r="B11" s="6" t="s">
        <v>89</v>
      </c>
      <c r="C11" s="5" t="s">
        <v>151</v>
      </c>
      <c r="D11" s="12" t="s">
        <v>284</v>
      </c>
      <c r="E11" s="12" t="s">
        <v>263</v>
      </c>
      <c r="F11" s="12" t="s">
        <v>269</v>
      </c>
      <c r="G11" s="12" t="s">
        <v>139</v>
      </c>
      <c r="H11" s="12" t="s">
        <v>140</v>
      </c>
      <c r="I11" s="12" t="s">
        <v>141</v>
      </c>
      <c r="J11" s="12" t="s">
        <v>259</v>
      </c>
      <c r="K11" s="12" t="s">
        <v>255</v>
      </c>
      <c r="L11" s="12" t="s">
        <v>251</v>
      </c>
      <c r="M11" s="172" t="s">
        <v>275</v>
      </c>
      <c r="N11" s="12" t="s">
        <v>271</v>
      </c>
      <c r="O11" s="12" t="s">
        <v>279</v>
      </c>
    </row>
    <row r="12" spans="1:15" ht="110.25" customHeight="1" x14ac:dyDescent="0.25">
      <c r="A12" s="3">
        <v>3</v>
      </c>
      <c r="B12" s="6" t="s">
        <v>90</v>
      </c>
      <c r="C12" s="5" t="s">
        <v>152</v>
      </c>
      <c r="D12" s="12" t="s">
        <v>283</v>
      </c>
      <c r="E12" s="12" t="s">
        <v>264</v>
      </c>
      <c r="F12" s="12" t="s">
        <v>268</v>
      </c>
      <c r="G12" s="12" t="s">
        <v>142</v>
      </c>
      <c r="H12" s="12" t="s">
        <v>143</v>
      </c>
      <c r="I12" s="12" t="s">
        <v>144</v>
      </c>
      <c r="J12" s="12" t="s">
        <v>260</v>
      </c>
      <c r="K12" s="12" t="s">
        <v>256</v>
      </c>
      <c r="L12" s="12" t="s">
        <v>252</v>
      </c>
      <c r="M12" s="172" t="s">
        <v>274</v>
      </c>
      <c r="N12" s="12" t="s">
        <v>272</v>
      </c>
      <c r="O12" s="12" t="s">
        <v>278</v>
      </c>
    </row>
    <row r="13" spans="1:15" ht="110.25" customHeight="1" x14ac:dyDescent="0.25">
      <c r="A13" s="3">
        <v>4</v>
      </c>
      <c r="B13" s="6" t="s">
        <v>91</v>
      </c>
      <c r="C13" s="5" t="s">
        <v>153</v>
      </c>
      <c r="D13" s="12" t="s">
        <v>282</v>
      </c>
      <c r="E13" s="12" t="s">
        <v>265</v>
      </c>
      <c r="F13" s="12" t="s">
        <v>267</v>
      </c>
      <c r="G13" s="12" t="s">
        <v>145</v>
      </c>
      <c r="H13" s="12" t="s">
        <v>146</v>
      </c>
      <c r="I13" s="12" t="s">
        <v>147</v>
      </c>
      <c r="J13" s="12" t="s">
        <v>261</v>
      </c>
      <c r="K13" s="12" t="s">
        <v>257</v>
      </c>
      <c r="L13" s="12" t="s">
        <v>253</v>
      </c>
      <c r="M13" s="172" t="s">
        <v>286</v>
      </c>
      <c r="N13" s="12" t="s">
        <v>273</v>
      </c>
      <c r="O13" s="12" t="s">
        <v>277</v>
      </c>
    </row>
    <row r="14" spans="1:15" x14ac:dyDescent="0.25">
      <c r="C14" s="4"/>
      <c r="D14" s="4"/>
      <c r="E14" s="4"/>
      <c r="F14" s="4"/>
      <c r="G14" s="4"/>
      <c r="H14" s="4"/>
      <c r="I14" s="4"/>
      <c r="J14" s="4"/>
      <c r="K14" s="24"/>
      <c r="L14" s="24"/>
      <c r="M14" s="24"/>
      <c r="N14" s="4"/>
      <c r="O14" s="4"/>
    </row>
  </sheetData>
  <mergeCells count="3">
    <mergeCell ref="A8:A9"/>
    <mergeCell ref="B8:B9"/>
    <mergeCell ref="C8:C9"/>
  </mergeCells>
  <phoneticPr fontId="5" type="noConversion"/>
  <pageMargins left="0.7" right="0.7" top="0.75" bottom="0.75" header="0.3" footer="0.3"/>
  <pageSetup orientation="portrait" horizontalDpi="4294967292"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9" tint="-0.499984740745262"/>
  </sheetPr>
  <dimension ref="A2:O55"/>
  <sheetViews>
    <sheetView workbookViewId="0">
      <selection activeCell="E8" sqref="E8"/>
    </sheetView>
  </sheetViews>
  <sheetFormatPr defaultColWidth="8.75" defaultRowHeight="15.75" x14ac:dyDescent="0.25"/>
  <cols>
    <col min="1" max="1" width="4" style="1" customWidth="1"/>
    <col min="2" max="2" width="27.5" style="1" customWidth="1"/>
    <col min="3" max="3" width="14.375" style="1" customWidth="1"/>
    <col min="4" max="15" width="15.5" style="1" customWidth="1"/>
    <col min="16" max="16384" width="8.75" style="1"/>
  </cols>
  <sheetData>
    <row r="2" spans="1:15" ht="25.5" x14ac:dyDescent="0.35">
      <c r="A2" s="7" t="s">
        <v>84</v>
      </c>
    </row>
    <row r="3" spans="1:15" ht="25.5" x14ac:dyDescent="0.35">
      <c r="A3" s="7" t="s">
        <v>92</v>
      </c>
    </row>
    <row r="4" spans="1:15" ht="25.5" x14ac:dyDescent="0.35">
      <c r="A4" s="7" t="s">
        <v>7</v>
      </c>
    </row>
    <row r="6" spans="1:15" x14ac:dyDescent="0.25">
      <c r="B6" s="2" t="s">
        <v>78</v>
      </c>
      <c r="C6" s="14" t="str">
        <f>'LEGGER XII AKL'!C6</f>
        <v>1 (SATU)</v>
      </c>
    </row>
    <row r="7" spans="1:15" x14ac:dyDescent="0.25">
      <c r="B7" s="2" t="s">
        <v>79</v>
      </c>
      <c r="C7" s="14" t="str">
        <f>'LEGGER XII AKL'!C7</f>
        <v>2024 /2025</v>
      </c>
    </row>
    <row r="8" spans="1:15" x14ac:dyDescent="0.25">
      <c r="B8" s="2" t="s">
        <v>80</v>
      </c>
      <c r="C8" s="14" t="str">
        <f>'LEGGER XII AKL'!I6</f>
        <v>Elsa Wahyuningrum, A.Md. KA.</v>
      </c>
    </row>
    <row r="9" spans="1:15" x14ac:dyDescent="0.25">
      <c r="B9" s="2" t="s">
        <v>81</v>
      </c>
      <c r="C9" s="14" t="str">
        <f>'LEGGER XII AKL'!I7</f>
        <v>-</v>
      </c>
    </row>
    <row r="10" spans="1:15" x14ac:dyDescent="0.25">
      <c r="C10" s="2"/>
    </row>
    <row r="11" spans="1:15" hidden="1" x14ac:dyDescent="0.25">
      <c r="A11" s="10">
        <v>1</v>
      </c>
      <c r="B11" s="10">
        <v>2</v>
      </c>
      <c r="C11" s="10">
        <v>3</v>
      </c>
      <c r="D11" s="10">
        <v>4</v>
      </c>
      <c r="E11" s="10">
        <v>5</v>
      </c>
      <c r="F11" s="10">
        <v>6</v>
      </c>
      <c r="G11" s="10">
        <v>7</v>
      </c>
      <c r="H11" s="10">
        <v>8</v>
      </c>
      <c r="I11" s="10">
        <v>9</v>
      </c>
      <c r="J11" s="10">
        <v>10</v>
      </c>
      <c r="K11" s="10">
        <v>11</v>
      </c>
      <c r="L11" s="10">
        <v>12</v>
      </c>
      <c r="M11" s="10">
        <v>13</v>
      </c>
      <c r="N11" s="10">
        <v>14</v>
      </c>
      <c r="O11" s="10">
        <v>15</v>
      </c>
    </row>
    <row r="12" spans="1:15" s="9" customFormat="1" ht="19.899999999999999" customHeight="1" thickBot="1" x14ac:dyDescent="0.35"/>
    <row r="13" spans="1:15" ht="15.6" customHeight="1" thickBot="1" x14ac:dyDescent="0.3">
      <c r="A13" s="321" t="s">
        <v>27</v>
      </c>
      <c r="B13" s="321" t="s">
        <v>28</v>
      </c>
      <c r="C13" s="321" t="s">
        <v>1</v>
      </c>
      <c r="D13" s="309" t="s">
        <v>76</v>
      </c>
      <c r="E13" s="309"/>
      <c r="F13" s="309"/>
      <c r="G13" s="309"/>
      <c r="H13" s="309"/>
      <c r="I13" s="309"/>
      <c r="J13" s="309"/>
      <c r="K13" s="309"/>
      <c r="L13" s="309"/>
      <c r="M13" s="309"/>
      <c r="N13" s="309"/>
      <c r="O13" s="309"/>
    </row>
    <row r="14" spans="1:15" ht="15" customHeight="1" thickBot="1" x14ac:dyDescent="0.3">
      <c r="A14" s="322"/>
      <c r="B14" s="322"/>
      <c r="C14" s="322"/>
      <c r="D14" s="334" t="s">
        <v>62</v>
      </c>
      <c r="E14" s="334"/>
      <c r="F14" s="334"/>
      <c r="G14" s="334"/>
      <c r="H14" s="330" t="s">
        <v>66</v>
      </c>
      <c r="I14" s="331"/>
      <c r="J14" s="331"/>
      <c r="K14" s="332"/>
      <c r="L14" s="330" t="s">
        <v>70</v>
      </c>
      <c r="M14" s="331"/>
      <c r="N14" s="331"/>
      <c r="O14" s="332"/>
    </row>
    <row r="15" spans="1:15" ht="15" customHeight="1" thickBot="1" x14ac:dyDescent="0.3">
      <c r="A15" s="323"/>
      <c r="B15" s="323"/>
      <c r="C15" s="323"/>
      <c r="D15" s="52" t="s">
        <v>63</v>
      </c>
      <c r="E15" s="53" t="s">
        <v>64</v>
      </c>
      <c r="F15" s="53" t="s">
        <v>65</v>
      </c>
      <c r="G15" s="54" t="s">
        <v>38</v>
      </c>
      <c r="H15" s="55" t="s">
        <v>67</v>
      </c>
      <c r="I15" s="53" t="s">
        <v>68</v>
      </c>
      <c r="J15" s="53" t="s">
        <v>69</v>
      </c>
      <c r="K15" s="56" t="s">
        <v>42</v>
      </c>
      <c r="L15" s="55" t="s">
        <v>71</v>
      </c>
      <c r="M15" s="53" t="s">
        <v>72</v>
      </c>
      <c r="N15" s="53" t="s">
        <v>73</v>
      </c>
      <c r="O15" s="56" t="s">
        <v>46</v>
      </c>
    </row>
    <row r="16" spans="1:15" x14ac:dyDescent="0.25">
      <c r="A16" s="18">
        <v>1</v>
      </c>
      <c r="B16" s="45" t="str">
        <f>'LEGGER XII AKL'!B15</f>
        <v>Amelia</v>
      </c>
      <c r="C16" s="46" t="str">
        <f>'LEGGER XII AKL'!C15</f>
        <v>0068552301</v>
      </c>
      <c r="D16" s="47" t="s">
        <v>77</v>
      </c>
      <c r="E16" s="48" t="s">
        <v>77</v>
      </c>
      <c r="F16" s="48" t="s">
        <v>77</v>
      </c>
      <c r="G16" s="49" t="s">
        <v>77</v>
      </c>
      <c r="H16" s="50" t="s">
        <v>77</v>
      </c>
      <c r="I16" s="48" t="s">
        <v>77</v>
      </c>
      <c r="J16" s="48" t="s">
        <v>77</v>
      </c>
      <c r="K16" s="51" t="s">
        <v>77</v>
      </c>
      <c r="L16" s="50" t="s">
        <v>77</v>
      </c>
      <c r="M16" s="48" t="s">
        <v>77</v>
      </c>
      <c r="N16" s="48" t="s">
        <v>77</v>
      </c>
      <c r="O16" s="51" t="s">
        <v>77</v>
      </c>
    </row>
    <row r="17" spans="1:15" x14ac:dyDescent="0.25">
      <c r="A17" s="20">
        <v>2</v>
      </c>
      <c r="B17" s="29" t="str">
        <f>'LEGGER XII AKL'!B16</f>
        <v>Chrycen Rivia Disa</v>
      </c>
      <c r="C17" s="30" t="str">
        <f>'LEGGER XII AKL'!C16</f>
        <v>0076793345</v>
      </c>
      <c r="D17" s="37" t="s">
        <v>77</v>
      </c>
      <c r="E17" s="17" t="s">
        <v>77</v>
      </c>
      <c r="F17" s="17" t="s">
        <v>77</v>
      </c>
      <c r="G17" s="32" t="s">
        <v>77</v>
      </c>
      <c r="H17" s="34" t="s">
        <v>77</v>
      </c>
      <c r="I17" s="17" t="s">
        <v>77</v>
      </c>
      <c r="J17" s="17" t="s">
        <v>77</v>
      </c>
      <c r="K17" s="42" t="s">
        <v>77</v>
      </c>
      <c r="L17" s="34" t="s">
        <v>77</v>
      </c>
      <c r="M17" s="17" t="s">
        <v>77</v>
      </c>
      <c r="N17" s="17" t="s">
        <v>77</v>
      </c>
      <c r="O17" s="42" t="s">
        <v>77</v>
      </c>
    </row>
    <row r="18" spans="1:15" x14ac:dyDescent="0.25">
      <c r="A18" s="20">
        <v>3</v>
      </c>
      <c r="B18" s="29" t="str">
        <f>'LEGGER XII AKL'!B17</f>
        <v>Citra Attailah</v>
      </c>
      <c r="C18" s="30" t="str">
        <f>'LEGGER XII AKL'!C17</f>
        <v>0075546309</v>
      </c>
      <c r="D18" s="37" t="s">
        <v>77</v>
      </c>
      <c r="E18" s="17" t="s">
        <v>77</v>
      </c>
      <c r="F18" s="17" t="s">
        <v>77</v>
      </c>
      <c r="G18" s="32" t="s">
        <v>77</v>
      </c>
      <c r="H18" s="34" t="s">
        <v>77</v>
      </c>
      <c r="I18" s="17" t="s">
        <v>77</v>
      </c>
      <c r="J18" s="17" t="s">
        <v>77</v>
      </c>
      <c r="K18" s="42" t="s">
        <v>77</v>
      </c>
      <c r="L18" s="34" t="s">
        <v>77</v>
      </c>
      <c r="M18" s="17" t="s">
        <v>77</v>
      </c>
      <c r="N18" s="17" t="s">
        <v>77</v>
      </c>
      <c r="O18" s="42" t="s">
        <v>77</v>
      </c>
    </row>
    <row r="19" spans="1:15" x14ac:dyDescent="0.25">
      <c r="A19" s="20">
        <v>4</v>
      </c>
      <c r="B19" s="29" t="str">
        <f>'LEGGER XII AKL'!B18</f>
        <v>Dimas Setiawan</v>
      </c>
      <c r="C19" s="30" t="str">
        <f>'LEGGER XII AKL'!C18</f>
        <v>0073521089</v>
      </c>
      <c r="D19" s="37" t="s">
        <v>77</v>
      </c>
      <c r="E19" s="17" t="s">
        <v>77</v>
      </c>
      <c r="F19" s="17" t="s">
        <v>77</v>
      </c>
      <c r="G19" s="32" t="s">
        <v>77</v>
      </c>
      <c r="H19" s="34" t="s">
        <v>77</v>
      </c>
      <c r="I19" s="17" t="s">
        <v>77</v>
      </c>
      <c r="J19" s="17" t="s">
        <v>77</v>
      </c>
      <c r="K19" s="42" t="s">
        <v>77</v>
      </c>
      <c r="L19" s="34" t="s">
        <v>77</v>
      </c>
      <c r="M19" s="17" t="s">
        <v>77</v>
      </c>
      <c r="N19" s="17" t="s">
        <v>77</v>
      </c>
      <c r="O19" s="42" t="s">
        <v>77</v>
      </c>
    </row>
    <row r="20" spans="1:15" x14ac:dyDescent="0.25">
      <c r="A20" s="20">
        <v>5</v>
      </c>
      <c r="B20" s="29" t="str">
        <f>'LEGGER XII AKL'!B19</f>
        <v>Fadhil Ubaidillah</v>
      </c>
      <c r="C20" s="30" t="str">
        <f>'LEGGER XII AKL'!C19</f>
        <v>0063430650</v>
      </c>
      <c r="D20" s="37" t="s">
        <v>77</v>
      </c>
      <c r="E20" s="17" t="s">
        <v>77</v>
      </c>
      <c r="F20" s="17" t="s">
        <v>77</v>
      </c>
      <c r="G20" s="32" t="s">
        <v>77</v>
      </c>
      <c r="H20" s="34" t="s">
        <v>77</v>
      </c>
      <c r="I20" s="17" t="s">
        <v>77</v>
      </c>
      <c r="J20" s="17" t="s">
        <v>77</v>
      </c>
      <c r="K20" s="42" t="s">
        <v>77</v>
      </c>
      <c r="L20" s="34" t="s">
        <v>77</v>
      </c>
      <c r="M20" s="17" t="s">
        <v>77</v>
      </c>
      <c r="N20" s="17" t="s">
        <v>77</v>
      </c>
      <c r="O20" s="42" t="s">
        <v>77</v>
      </c>
    </row>
    <row r="21" spans="1:15" x14ac:dyDescent="0.25">
      <c r="A21" s="20">
        <v>6</v>
      </c>
      <c r="B21" s="29" t="str">
        <f>'LEGGER XII AKL'!B20</f>
        <v>Ferza Febriansyah</v>
      </c>
      <c r="C21" s="30" t="str">
        <f>'LEGGER XII AKL'!C20</f>
        <v>0071685041</v>
      </c>
      <c r="D21" s="37" t="s">
        <v>77</v>
      </c>
      <c r="E21" s="17" t="s">
        <v>77</v>
      </c>
      <c r="F21" s="17" t="s">
        <v>77</v>
      </c>
      <c r="G21" s="32" t="s">
        <v>77</v>
      </c>
      <c r="H21" s="34" t="s">
        <v>77</v>
      </c>
      <c r="I21" s="17" t="s">
        <v>77</v>
      </c>
      <c r="J21" s="17" t="s">
        <v>77</v>
      </c>
      <c r="K21" s="42" t="s">
        <v>77</v>
      </c>
      <c r="L21" s="34" t="s">
        <v>77</v>
      </c>
      <c r="M21" s="17" t="s">
        <v>77</v>
      </c>
      <c r="N21" s="17" t="s">
        <v>77</v>
      </c>
      <c r="O21" s="42" t="s">
        <v>77</v>
      </c>
    </row>
    <row r="22" spans="1:15" x14ac:dyDescent="0.25">
      <c r="A22" s="20">
        <v>7</v>
      </c>
      <c r="B22" s="29" t="str">
        <f>'LEGGER XII AKL'!B21</f>
        <v>Iqlimah Cahaya Mustika</v>
      </c>
      <c r="C22" s="30" t="str">
        <f>'LEGGER XII AKL'!C21</f>
        <v>0064268039</v>
      </c>
      <c r="D22" s="37" t="s">
        <v>77</v>
      </c>
      <c r="E22" s="17" t="s">
        <v>77</v>
      </c>
      <c r="F22" s="17" t="s">
        <v>77</v>
      </c>
      <c r="G22" s="32" t="s">
        <v>77</v>
      </c>
      <c r="H22" s="34" t="s">
        <v>77</v>
      </c>
      <c r="I22" s="17" t="s">
        <v>77</v>
      </c>
      <c r="J22" s="17" t="s">
        <v>77</v>
      </c>
      <c r="K22" s="42" t="s">
        <v>77</v>
      </c>
      <c r="L22" s="34" t="s">
        <v>77</v>
      </c>
      <c r="M22" s="17" t="s">
        <v>77</v>
      </c>
      <c r="N22" s="17" t="s">
        <v>77</v>
      </c>
      <c r="O22" s="42" t="s">
        <v>77</v>
      </c>
    </row>
    <row r="23" spans="1:15" x14ac:dyDescent="0.25">
      <c r="A23" s="20">
        <v>8</v>
      </c>
      <c r="B23" s="29" t="str">
        <f>'LEGGER XII AKL'!B22</f>
        <v>Irshal Rhama Aidillah</v>
      </c>
      <c r="C23" s="30" t="str">
        <f>'LEGGER XII AKL'!C22</f>
        <v>3074487136</v>
      </c>
      <c r="D23" s="37" t="s">
        <v>77</v>
      </c>
      <c r="E23" s="17" t="s">
        <v>77</v>
      </c>
      <c r="F23" s="17" t="s">
        <v>77</v>
      </c>
      <c r="G23" s="32" t="s">
        <v>77</v>
      </c>
      <c r="H23" s="34" t="s">
        <v>77</v>
      </c>
      <c r="I23" s="17" t="s">
        <v>77</v>
      </c>
      <c r="J23" s="17" t="s">
        <v>77</v>
      </c>
      <c r="K23" s="42" t="s">
        <v>77</v>
      </c>
      <c r="L23" s="34" t="s">
        <v>77</v>
      </c>
      <c r="M23" s="17" t="s">
        <v>77</v>
      </c>
      <c r="N23" s="17" t="s">
        <v>77</v>
      </c>
      <c r="O23" s="42" t="s">
        <v>77</v>
      </c>
    </row>
    <row r="24" spans="1:15" x14ac:dyDescent="0.25">
      <c r="A24" s="20">
        <v>9</v>
      </c>
      <c r="B24" s="29" t="str">
        <f>'LEGGER XII AKL'!B23</f>
        <v>Jingga Nur Qalam</v>
      </c>
      <c r="C24" s="30" t="str">
        <f>'LEGGER XII AKL'!C23</f>
        <v>0067481076</v>
      </c>
      <c r="D24" s="37" t="s">
        <v>77</v>
      </c>
      <c r="E24" s="17" t="s">
        <v>77</v>
      </c>
      <c r="F24" s="17" t="s">
        <v>77</v>
      </c>
      <c r="G24" s="32" t="s">
        <v>77</v>
      </c>
      <c r="H24" s="34" t="s">
        <v>77</v>
      </c>
      <c r="I24" s="17" t="s">
        <v>77</v>
      </c>
      <c r="J24" s="17" t="s">
        <v>77</v>
      </c>
      <c r="K24" s="42" t="s">
        <v>77</v>
      </c>
      <c r="L24" s="34" t="s">
        <v>77</v>
      </c>
      <c r="M24" s="17" t="s">
        <v>77</v>
      </c>
      <c r="N24" s="17" t="s">
        <v>77</v>
      </c>
      <c r="O24" s="42" t="s">
        <v>77</v>
      </c>
    </row>
    <row r="25" spans="1:15" x14ac:dyDescent="0.25">
      <c r="A25" s="20">
        <v>10</v>
      </c>
      <c r="B25" s="29" t="str">
        <f>'LEGGER XII AKL'!B24</f>
        <v>Karina Dwi Sagita</v>
      </c>
      <c r="C25" s="30" t="str">
        <f>'LEGGER XII AKL'!C24</f>
        <v>0057659388</v>
      </c>
      <c r="D25" s="37" t="s">
        <v>77</v>
      </c>
      <c r="E25" s="17" t="s">
        <v>77</v>
      </c>
      <c r="F25" s="17" t="s">
        <v>77</v>
      </c>
      <c r="G25" s="32" t="s">
        <v>77</v>
      </c>
      <c r="H25" s="34" t="s">
        <v>77</v>
      </c>
      <c r="I25" s="17" t="s">
        <v>77</v>
      </c>
      <c r="J25" s="17" t="s">
        <v>77</v>
      </c>
      <c r="K25" s="42" t="s">
        <v>77</v>
      </c>
      <c r="L25" s="34" t="s">
        <v>77</v>
      </c>
      <c r="M25" s="17" t="s">
        <v>77</v>
      </c>
      <c r="N25" s="17" t="s">
        <v>77</v>
      </c>
      <c r="O25" s="42" t="s">
        <v>77</v>
      </c>
    </row>
    <row r="26" spans="1:15" x14ac:dyDescent="0.25">
      <c r="A26" s="20">
        <v>11</v>
      </c>
      <c r="B26" s="29" t="str">
        <f>'LEGGER XII AKL'!B25</f>
        <v>Larasati</v>
      </c>
      <c r="C26" s="30" t="str">
        <f>'LEGGER XII AKL'!C25</f>
        <v>3073371186</v>
      </c>
      <c r="D26" s="37" t="s">
        <v>77</v>
      </c>
      <c r="E26" s="17" t="s">
        <v>77</v>
      </c>
      <c r="F26" s="17" t="s">
        <v>77</v>
      </c>
      <c r="G26" s="32" t="s">
        <v>77</v>
      </c>
      <c r="H26" s="34" t="s">
        <v>77</v>
      </c>
      <c r="I26" s="17" t="s">
        <v>77</v>
      </c>
      <c r="J26" s="17" t="s">
        <v>77</v>
      </c>
      <c r="K26" s="42" t="s">
        <v>77</v>
      </c>
      <c r="L26" s="34" t="s">
        <v>77</v>
      </c>
      <c r="M26" s="17" t="s">
        <v>77</v>
      </c>
      <c r="N26" s="17" t="s">
        <v>77</v>
      </c>
      <c r="O26" s="42" t="s">
        <v>77</v>
      </c>
    </row>
    <row r="27" spans="1:15" x14ac:dyDescent="0.25">
      <c r="A27" s="20">
        <v>12</v>
      </c>
      <c r="B27" s="29" t="str">
        <f>'LEGGER XII AKL'!B26</f>
        <v>Lia Apriyani</v>
      </c>
      <c r="C27" s="30" t="str">
        <f>'LEGGER XII AKL'!C26</f>
        <v>0074403542</v>
      </c>
      <c r="D27" s="37" t="s">
        <v>77</v>
      </c>
      <c r="E27" s="17" t="s">
        <v>77</v>
      </c>
      <c r="F27" s="17" t="s">
        <v>77</v>
      </c>
      <c r="G27" s="32" t="s">
        <v>77</v>
      </c>
      <c r="H27" s="34" t="s">
        <v>77</v>
      </c>
      <c r="I27" s="17" t="s">
        <v>77</v>
      </c>
      <c r="J27" s="17" t="s">
        <v>77</v>
      </c>
      <c r="K27" s="42" t="s">
        <v>77</v>
      </c>
      <c r="L27" s="34" t="s">
        <v>77</v>
      </c>
      <c r="M27" s="17" t="s">
        <v>77</v>
      </c>
      <c r="N27" s="17" t="s">
        <v>77</v>
      </c>
      <c r="O27" s="42" t="s">
        <v>77</v>
      </c>
    </row>
    <row r="28" spans="1:15" x14ac:dyDescent="0.25">
      <c r="A28" s="20">
        <v>13</v>
      </c>
      <c r="B28" s="29" t="str">
        <f>'LEGGER XII AKL'!B27</f>
        <v>Lulu Amanda</v>
      </c>
      <c r="C28" s="30" t="str">
        <f>'LEGGER XII AKL'!C27</f>
        <v>0078516371</v>
      </c>
      <c r="D28" s="37" t="s">
        <v>77</v>
      </c>
      <c r="E28" s="17" t="s">
        <v>77</v>
      </c>
      <c r="F28" s="17" t="s">
        <v>77</v>
      </c>
      <c r="G28" s="32" t="s">
        <v>77</v>
      </c>
      <c r="H28" s="34" t="s">
        <v>77</v>
      </c>
      <c r="I28" s="17" t="s">
        <v>77</v>
      </c>
      <c r="J28" s="17" t="s">
        <v>77</v>
      </c>
      <c r="K28" s="42" t="s">
        <v>77</v>
      </c>
      <c r="L28" s="34" t="s">
        <v>77</v>
      </c>
      <c r="M28" s="17" t="s">
        <v>77</v>
      </c>
      <c r="N28" s="17" t="s">
        <v>77</v>
      </c>
      <c r="O28" s="42" t="s">
        <v>77</v>
      </c>
    </row>
    <row r="29" spans="1:15" x14ac:dyDescent="0.25">
      <c r="A29" s="20">
        <v>14</v>
      </c>
      <c r="B29" s="29" t="str">
        <f>'LEGGER XII AKL'!B28</f>
        <v>Marsella</v>
      </c>
      <c r="C29" s="30" t="str">
        <f>'LEGGER XII AKL'!C28</f>
        <v>0068435867</v>
      </c>
      <c r="D29" s="37" t="s">
        <v>77</v>
      </c>
      <c r="E29" s="17" t="s">
        <v>77</v>
      </c>
      <c r="F29" s="17" t="s">
        <v>77</v>
      </c>
      <c r="G29" s="32" t="s">
        <v>77</v>
      </c>
      <c r="H29" s="34" t="s">
        <v>77</v>
      </c>
      <c r="I29" s="17" t="s">
        <v>77</v>
      </c>
      <c r="J29" s="17" t="s">
        <v>77</v>
      </c>
      <c r="K29" s="42" t="s">
        <v>77</v>
      </c>
      <c r="L29" s="34" t="s">
        <v>77</v>
      </c>
      <c r="M29" s="17" t="s">
        <v>77</v>
      </c>
      <c r="N29" s="17" t="s">
        <v>77</v>
      </c>
      <c r="O29" s="42" t="s">
        <v>77</v>
      </c>
    </row>
    <row r="30" spans="1:15" x14ac:dyDescent="0.25">
      <c r="A30" s="20">
        <v>15</v>
      </c>
      <c r="B30" s="29" t="str">
        <f>'LEGGER XII AKL'!B29</f>
        <v>Monica Nuraini</v>
      </c>
      <c r="C30" s="30" t="str">
        <f>'LEGGER XII AKL'!C29</f>
        <v>3074322550</v>
      </c>
      <c r="D30" s="37" t="s">
        <v>77</v>
      </c>
      <c r="E30" s="17" t="s">
        <v>77</v>
      </c>
      <c r="F30" s="17" t="s">
        <v>77</v>
      </c>
      <c r="G30" s="32" t="s">
        <v>77</v>
      </c>
      <c r="H30" s="34" t="s">
        <v>77</v>
      </c>
      <c r="I30" s="17" t="s">
        <v>77</v>
      </c>
      <c r="J30" s="17" t="s">
        <v>77</v>
      </c>
      <c r="K30" s="42" t="s">
        <v>77</v>
      </c>
      <c r="L30" s="34" t="s">
        <v>77</v>
      </c>
      <c r="M30" s="17" t="s">
        <v>77</v>
      </c>
      <c r="N30" s="17" t="s">
        <v>77</v>
      </c>
      <c r="O30" s="42" t="s">
        <v>77</v>
      </c>
    </row>
    <row r="31" spans="1:15" x14ac:dyDescent="0.25">
      <c r="A31" s="20">
        <v>16</v>
      </c>
      <c r="B31" s="29" t="str">
        <f>'LEGGER XII AKL'!B30</f>
        <v>Muhammad Rafa Zaidan</v>
      </c>
      <c r="C31" s="30" t="str">
        <f>'LEGGER XII AKL'!C30</f>
        <v>0078820397</v>
      </c>
      <c r="D31" s="37" t="s">
        <v>77</v>
      </c>
      <c r="E31" s="17" t="s">
        <v>77</v>
      </c>
      <c r="F31" s="17" t="s">
        <v>77</v>
      </c>
      <c r="G31" s="32" t="s">
        <v>77</v>
      </c>
      <c r="H31" s="34" t="s">
        <v>77</v>
      </c>
      <c r="I31" s="17" t="s">
        <v>77</v>
      </c>
      <c r="J31" s="17" t="s">
        <v>77</v>
      </c>
      <c r="K31" s="42" t="s">
        <v>77</v>
      </c>
      <c r="L31" s="34" t="s">
        <v>77</v>
      </c>
      <c r="M31" s="17" t="s">
        <v>77</v>
      </c>
      <c r="N31" s="17" t="s">
        <v>77</v>
      </c>
      <c r="O31" s="42" t="s">
        <v>77</v>
      </c>
    </row>
    <row r="32" spans="1:15" x14ac:dyDescent="0.25">
      <c r="A32" s="20">
        <v>17</v>
      </c>
      <c r="B32" s="29" t="str">
        <f>'LEGGER XII AKL'!B31</f>
        <v>Mutia Nurhapijah</v>
      </c>
      <c r="C32" s="30" t="str">
        <f>'LEGGER XII AKL'!C31</f>
        <v>0066903308</v>
      </c>
      <c r="D32" s="37" t="s">
        <v>77</v>
      </c>
      <c r="E32" s="17" t="s">
        <v>77</v>
      </c>
      <c r="F32" s="17" t="s">
        <v>77</v>
      </c>
      <c r="G32" s="32" t="s">
        <v>77</v>
      </c>
      <c r="H32" s="34" t="s">
        <v>77</v>
      </c>
      <c r="I32" s="17" t="s">
        <v>77</v>
      </c>
      <c r="J32" s="17" t="s">
        <v>77</v>
      </c>
      <c r="K32" s="42" t="s">
        <v>77</v>
      </c>
      <c r="L32" s="34" t="s">
        <v>77</v>
      </c>
      <c r="M32" s="17" t="s">
        <v>77</v>
      </c>
      <c r="N32" s="17" t="s">
        <v>77</v>
      </c>
      <c r="O32" s="42" t="s">
        <v>77</v>
      </c>
    </row>
    <row r="33" spans="1:15" x14ac:dyDescent="0.25">
      <c r="A33" s="20">
        <v>18</v>
      </c>
      <c r="B33" s="29" t="str">
        <f>'LEGGER XII AKL'!B32</f>
        <v>Nayla Adristi Permata</v>
      </c>
      <c r="C33" s="30" t="str">
        <f>'LEGGER XII AKL'!C32</f>
        <v>0069309541</v>
      </c>
      <c r="D33" s="37" t="s">
        <v>77</v>
      </c>
      <c r="E33" s="17" t="s">
        <v>77</v>
      </c>
      <c r="F33" s="17" t="s">
        <v>77</v>
      </c>
      <c r="G33" s="32" t="s">
        <v>77</v>
      </c>
      <c r="H33" s="34" t="s">
        <v>77</v>
      </c>
      <c r="I33" s="17" t="s">
        <v>77</v>
      </c>
      <c r="J33" s="17" t="s">
        <v>77</v>
      </c>
      <c r="K33" s="42" t="s">
        <v>77</v>
      </c>
      <c r="L33" s="34" t="s">
        <v>77</v>
      </c>
      <c r="M33" s="17" t="s">
        <v>77</v>
      </c>
      <c r="N33" s="17" t="s">
        <v>77</v>
      </c>
      <c r="O33" s="42" t="s">
        <v>77</v>
      </c>
    </row>
    <row r="34" spans="1:15" x14ac:dyDescent="0.25">
      <c r="A34" s="20">
        <v>19</v>
      </c>
      <c r="B34" s="29" t="str">
        <f>'LEGGER XII AKL'!B33</f>
        <v>Nazwa Inggrid Afiah</v>
      </c>
      <c r="C34" s="30" t="str">
        <f>'LEGGER XII AKL'!C33</f>
        <v>0074899472</v>
      </c>
      <c r="D34" s="37" t="s">
        <v>77</v>
      </c>
      <c r="E34" s="17" t="s">
        <v>77</v>
      </c>
      <c r="F34" s="17" t="s">
        <v>77</v>
      </c>
      <c r="G34" s="32" t="s">
        <v>77</v>
      </c>
      <c r="H34" s="34" t="s">
        <v>77</v>
      </c>
      <c r="I34" s="17" t="s">
        <v>77</v>
      </c>
      <c r="J34" s="17" t="s">
        <v>77</v>
      </c>
      <c r="K34" s="42" t="s">
        <v>77</v>
      </c>
      <c r="L34" s="34" t="s">
        <v>77</v>
      </c>
      <c r="M34" s="17" t="s">
        <v>77</v>
      </c>
      <c r="N34" s="17" t="s">
        <v>77</v>
      </c>
      <c r="O34" s="42" t="s">
        <v>77</v>
      </c>
    </row>
    <row r="35" spans="1:15" x14ac:dyDescent="0.25">
      <c r="A35" s="20">
        <v>20</v>
      </c>
      <c r="B35" s="29" t="str">
        <f>'LEGGER XII AKL'!B34</f>
        <v>Nikmatuz Zakiyah</v>
      </c>
      <c r="C35" s="30" t="str">
        <f>'LEGGER XII AKL'!C34</f>
        <v>0073236952</v>
      </c>
      <c r="D35" s="37" t="s">
        <v>77</v>
      </c>
      <c r="E35" s="17" t="s">
        <v>77</v>
      </c>
      <c r="F35" s="17" t="s">
        <v>77</v>
      </c>
      <c r="G35" s="32" t="s">
        <v>77</v>
      </c>
      <c r="H35" s="34" t="s">
        <v>77</v>
      </c>
      <c r="I35" s="17" t="s">
        <v>77</v>
      </c>
      <c r="J35" s="17" t="s">
        <v>77</v>
      </c>
      <c r="K35" s="42" t="s">
        <v>77</v>
      </c>
      <c r="L35" s="34" t="s">
        <v>77</v>
      </c>
      <c r="M35" s="17" t="s">
        <v>77</v>
      </c>
      <c r="N35" s="17" t="s">
        <v>77</v>
      </c>
      <c r="O35" s="42" t="s">
        <v>77</v>
      </c>
    </row>
    <row r="36" spans="1:15" x14ac:dyDescent="0.25">
      <c r="A36" s="20">
        <v>21</v>
      </c>
      <c r="B36" s="29" t="str">
        <f>'LEGGER XII AKL'!B35</f>
        <v>Novia Nabila</v>
      </c>
      <c r="C36" s="30" t="str">
        <f>'LEGGER XII AKL'!C35</f>
        <v>0063211372</v>
      </c>
      <c r="D36" s="37" t="s">
        <v>77</v>
      </c>
      <c r="E36" s="17" t="s">
        <v>77</v>
      </c>
      <c r="F36" s="17" t="s">
        <v>77</v>
      </c>
      <c r="G36" s="32" t="s">
        <v>77</v>
      </c>
      <c r="H36" s="34" t="s">
        <v>77</v>
      </c>
      <c r="I36" s="17" t="s">
        <v>77</v>
      </c>
      <c r="J36" s="17" t="s">
        <v>77</v>
      </c>
      <c r="K36" s="42" t="s">
        <v>77</v>
      </c>
      <c r="L36" s="34" t="s">
        <v>77</v>
      </c>
      <c r="M36" s="17" t="s">
        <v>77</v>
      </c>
      <c r="N36" s="17" t="s">
        <v>77</v>
      </c>
      <c r="O36" s="42" t="s">
        <v>77</v>
      </c>
    </row>
    <row r="37" spans="1:15" x14ac:dyDescent="0.25">
      <c r="A37" s="20">
        <v>22</v>
      </c>
      <c r="B37" s="29" t="str">
        <f>'LEGGER XII AKL'!B36</f>
        <v>Rafly Ardiansyah</v>
      </c>
      <c r="C37" s="30" t="str">
        <f>'LEGGER XII AKL'!C36</f>
        <v>0058145729</v>
      </c>
      <c r="D37" s="37" t="s">
        <v>77</v>
      </c>
      <c r="E37" s="17" t="s">
        <v>77</v>
      </c>
      <c r="F37" s="17" t="s">
        <v>77</v>
      </c>
      <c r="G37" s="32" t="s">
        <v>77</v>
      </c>
      <c r="H37" s="34" t="s">
        <v>77</v>
      </c>
      <c r="I37" s="17" t="s">
        <v>77</v>
      </c>
      <c r="J37" s="17" t="s">
        <v>77</v>
      </c>
      <c r="K37" s="42" t="s">
        <v>77</v>
      </c>
      <c r="L37" s="34" t="s">
        <v>77</v>
      </c>
      <c r="M37" s="17" t="s">
        <v>77</v>
      </c>
      <c r="N37" s="17" t="s">
        <v>77</v>
      </c>
      <c r="O37" s="42" t="s">
        <v>77</v>
      </c>
    </row>
    <row r="38" spans="1:15" x14ac:dyDescent="0.25">
      <c r="A38" s="20">
        <v>23</v>
      </c>
      <c r="B38" s="29" t="str">
        <f>'LEGGER XII AKL'!B37</f>
        <v>Ratu Ramadhania</v>
      </c>
      <c r="C38" s="30" t="str">
        <f>'LEGGER XII AKL'!C37</f>
        <v>0069672011</v>
      </c>
      <c r="D38" s="37" t="s">
        <v>77</v>
      </c>
      <c r="E38" s="17" t="s">
        <v>77</v>
      </c>
      <c r="F38" s="17" t="s">
        <v>77</v>
      </c>
      <c r="G38" s="32" t="s">
        <v>77</v>
      </c>
      <c r="H38" s="34" t="s">
        <v>77</v>
      </c>
      <c r="I38" s="17" t="s">
        <v>77</v>
      </c>
      <c r="J38" s="17" t="s">
        <v>77</v>
      </c>
      <c r="K38" s="42" t="s">
        <v>77</v>
      </c>
      <c r="L38" s="34" t="s">
        <v>77</v>
      </c>
      <c r="M38" s="17" t="s">
        <v>77</v>
      </c>
      <c r="N38" s="17" t="s">
        <v>77</v>
      </c>
      <c r="O38" s="42" t="s">
        <v>77</v>
      </c>
    </row>
    <row r="39" spans="1:15" x14ac:dyDescent="0.25">
      <c r="A39" s="20">
        <v>24</v>
      </c>
      <c r="B39" s="29" t="str">
        <f>'LEGGER XII AKL'!B38</f>
        <v>Rizky Intan Fahrani</v>
      </c>
      <c r="C39" s="30" t="str">
        <f>'LEGGER XII AKL'!C38</f>
        <v>3075648832</v>
      </c>
      <c r="D39" s="37" t="s">
        <v>77</v>
      </c>
      <c r="E39" s="17" t="s">
        <v>77</v>
      </c>
      <c r="F39" s="17" t="s">
        <v>77</v>
      </c>
      <c r="G39" s="32" t="s">
        <v>77</v>
      </c>
      <c r="H39" s="34" t="s">
        <v>77</v>
      </c>
      <c r="I39" s="17" t="s">
        <v>77</v>
      </c>
      <c r="J39" s="17" t="s">
        <v>77</v>
      </c>
      <c r="K39" s="42" t="s">
        <v>77</v>
      </c>
      <c r="L39" s="34" t="s">
        <v>77</v>
      </c>
      <c r="M39" s="17" t="s">
        <v>77</v>
      </c>
      <c r="N39" s="17" t="s">
        <v>77</v>
      </c>
      <c r="O39" s="42" t="s">
        <v>77</v>
      </c>
    </row>
    <row r="40" spans="1:15" x14ac:dyDescent="0.25">
      <c r="A40" s="20">
        <v>25</v>
      </c>
      <c r="B40" s="29" t="str">
        <f>'LEGGER XII AKL'!B39</f>
        <v>Salwa Fatimah Az-Zahra</v>
      </c>
      <c r="C40" s="30" t="str">
        <f>'LEGGER XII AKL'!C39</f>
        <v>0071228586</v>
      </c>
      <c r="D40" s="37" t="s">
        <v>77</v>
      </c>
      <c r="E40" s="17" t="s">
        <v>77</v>
      </c>
      <c r="F40" s="17" t="s">
        <v>77</v>
      </c>
      <c r="G40" s="32" t="s">
        <v>77</v>
      </c>
      <c r="H40" s="34" t="s">
        <v>77</v>
      </c>
      <c r="I40" s="17" t="s">
        <v>77</v>
      </c>
      <c r="J40" s="17" t="s">
        <v>77</v>
      </c>
      <c r="K40" s="42" t="s">
        <v>77</v>
      </c>
      <c r="L40" s="34" t="s">
        <v>77</v>
      </c>
      <c r="M40" s="17" t="s">
        <v>77</v>
      </c>
      <c r="N40" s="17" t="s">
        <v>77</v>
      </c>
      <c r="O40" s="42" t="s">
        <v>77</v>
      </c>
    </row>
    <row r="41" spans="1:15" x14ac:dyDescent="0.25">
      <c r="A41" s="20">
        <v>26</v>
      </c>
      <c r="B41" s="29" t="str">
        <f>'LEGGER XII AKL'!B40</f>
        <v>Salwa Salsabila</v>
      </c>
      <c r="C41" s="30" t="str">
        <f>'LEGGER XII AKL'!C40</f>
        <v>0066383402</v>
      </c>
      <c r="D41" s="37" t="s">
        <v>77</v>
      </c>
      <c r="E41" s="17" t="s">
        <v>77</v>
      </c>
      <c r="F41" s="17" t="s">
        <v>77</v>
      </c>
      <c r="G41" s="32" t="s">
        <v>77</v>
      </c>
      <c r="H41" s="34" t="s">
        <v>77</v>
      </c>
      <c r="I41" s="17" t="s">
        <v>77</v>
      </c>
      <c r="J41" s="17" t="s">
        <v>77</v>
      </c>
      <c r="K41" s="42" t="s">
        <v>77</v>
      </c>
      <c r="L41" s="34" t="s">
        <v>77</v>
      </c>
      <c r="M41" s="17" t="s">
        <v>77</v>
      </c>
      <c r="N41" s="17" t="s">
        <v>77</v>
      </c>
      <c r="O41" s="42" t="s">
        <v>77</v>
      </c>
    </row>
    <row r="42" spans="1:15" x14ac:dyDescent="0.25">
      <c r="A42" s="20">
        <v>27</v>
      </c>
      <c r="B42" s="29" t="str">
        <f>'LEGGER XII AKL'!B41</f>
        <v>Shalsabila Lesmana</v>
      </c>
      <c r="C42" s="30" t="str">
        <f>'LEGGER XII AKL'!C41</f>
        <v>0065632276</v>
      </c>
      <c r="D42" s="37" t="s">
        <v>77</v>
      </c>
      <c r="E42" s="17" t="s">
        <v>77</v>
      </c>
      <c r="F42" s="17" t="s">
        <v>77</v>
      </c>
      <c r="G42" s="32" t="s">
        <v>77</v>
      </c>
      <c r="H42" s="34" t="s">
        <v>77</v>
      </c>
      <c r="I42" s="17" t="s">
        <v>77</v>
      </c>
      <c r="J42" s="17" t="s">
        <v>77</v>
      </c>
      <c r="K42" s="42" t="s">
        <v>77</v>
      </c>
      <c r="L42" s="34" t="s">
        <v>77</v>
      </c>
      <c r="M42" s="17" t="s">
        <v>77</v>
      </c>
      <c r="N42" s="17" t="s">
        <v>77</v>
      </c>
      <c r="O42" s="42" t="s">
        <v>77</v>
      </c>
    </row>
    <row r="43" spans="1:15" x14ac:dyDescent="0.25">
      <c r="A43" s="20">
        <v>28</v>
      </c>
      <c r="B43" s="29" t="str">
        <f>'LEGGER XII AKL'!B42</f>
        <v>Siti Mutia Hanna</v>
      </c>
      <c r="C43" s="30" t="str">
        <f>'LEGGER XII AKL'!C42</f>
        <v>0062588903</v>
      </c>
      <c r="D43" s="37" t="s">
        <v>77</v>
      </c>
      <c r="E43" s="17" t="s">
        <v>77</v>
      </c>
      <c r="F43" s="17" t="s">
        <v>77</v>
      </c>
      <c r="G43" s="32" t="s">
        <v>77</v>
      </c>
      <c r="H43" s="34" t="s">
        <v>77</v>
      </c>
      <c r="I43" s="17" t="s">
        <v>77</v>
      </c>
      <c r="J43" s="17" t="s">
        <v>77</v>
      </c>
      <c r="K43" s="42" t="s">
        <v>77</v>
      </c>
      <c r="L43" s="34" t="s">
        <v>77</v>
      </c>
      <c r="M43" s="17" t="s">
        <v>77</v>
      </c>
      <c r="N43" s="17" t="s">
        <v>77</v>
      </c>
      <c r="O43" s="42" t="s">
        <v>77</v>
      </c>
    </row>
    <row r="44" spans="1:15" x14ac:dyDescent="0.25">
      <c r="A44" s="20">
        <v>29</v>
      </c>
      <c r="B44" s="29" t="str">
        <f>'LEGGER XII AKL'!B43</f>
        <v>Syafira Andhini Endah Muejiawati</v>
      </c>
      <c r="C44" s="30" t="str">
        <f>'LEGGER XII AKL'!C43</f>
        <v>0077798543</v>
      </c>
      <c r="D44" s="37" t="s">
        <v>77</v>
      </c>
      <c r="E44" s="17" t="s">
        <v>77</v>
      </c>
      <c r="F44" s="17" t="s">
        <v>77</v>
      </c>
      <c r="G44" s="32" t="s">
        <v>77</v>
      </c>
      <c r="H44" s="34" t="s">
        <v>77</v>
      </c>
      <c r="I44" s="17" t="s">
        <v>77</v>
      </c>
      <c r="J44" s="17" t="s">
        <v>77</v>
      </c>
      <c r="K44" s="42" t="s">
        <v>77</v>
      </c>
      <c r="L44" s="34" t="s">
        <v>77</v>
      </c>
      <c r="M44" s="17" t="s">
        <v>77</v>
      </c>
      <c r="N44" s="17" t="s">
        <v>77</v>
      </c>
      <c r="O44" s="42" t="s">
        <v>77</v>
      </c>
    </row>
    <row r="45" spans="1:15" x14ac:dyDescent="0.25">
      <c r="A45" s="20">
        <v>30</v>
      </c>
      <c r="B45" s="29" t="str">
        <f>'LEGGER XII AKL'!B44</f>
        <v>Thoriq Ahmad Muzafran</v>
      </c>
      <c r="C45" s="30" t="str">
        <f>'LEGGER XII AKL'!C44</f>
        <v>3054086042</v>
      </c>
      <c r="D45" s="37" t="s">
        <v>77</v>
      </c>
      <c r="E45" s="17" t="s">
        <v>77</v>
      </c>
      <c r="F45" s="17" t="s">
        <v>77</v>
      </c>
      <c r="G45" s="32" t="s">
        <v>77</v>
      </c>
      <c r="H45" s="34" t="s">
        <v>77</v>
      </c>
      <c r="I45" s="17" t="s">
        <v>77</v>
      </c>
      <c r="J45" s="17" t="s">
        <v>77</v>
      </c>
      <c r="K45" s="42" t="s">
        <v>77</v>
      </c>
      <c r="L45" s="34" t="s">
        <v>77</v>
      </c>
      <c r="M45" s="17" t="s">
        <v>77</v>
      </c>
      <c r="N45" s="17" t="s">
        <v>77</v>
      </c>
      <c r="O45" s="42" t="s">
        <v>77</v>
      </c>
    </row>
    <row r="46" spans="1:15" x14ac:dyDescent="0.25">
      <c r="A46" s="20">
        <v>31</v>
      </c>
      <c r="B46" s="29" t="str">
        <f>'LEGGER XII AKL'!B45</f>
        <v>Vadyllah Zhara</v>
      </c>
      <c r="C46" s="30" t="str">
        <f>'LEGGER XII AKL'!C45</f>
        <v>0078314869</v>
      </c>
      <c r="D46" s="37" t="s">
        <v>77</v>
      </c>
      <c r="E46" s="17" t="s">
        <v>77</v>
      </c>
      <c r="F46" s="17" t="s">
        <v>77</v>
      </c>
      <c r="G46" s="32" t="s">
        <v>77</v>
      </c>
      <c r="H46" s="34" t="s">
        <v>77</v>
      </c>
      <c r="I46" s="17" t="s">
        <v>77</v>
      </c>
      <c r="J46" s="17" t="s">
        <v>77</v>
      </c>
      <c r="K46" s="42" t="s">
        <v>77</v>
      </c>
      <c r="L46" s="34" t="s">
        <v>77</v>
      </c>
      <c r="M46" s="17" t="s">
        <v>77</v>
      </c>
      <c r="N46" s="17" t="s">
        <v>77</v>
      </c>
      <c r="O46" s="42" t="s">
        <v>77</v>
      </c>
    </row>
    <row r="47" spans="1:15" x14ac:dyDescent="0.25">
      <c r="A47" s="20">
        <v>32</v>
      </c>
      <c r="B47" s="29" t="str">
        <f>'LEGGER XII AKL'!B46</f>
        <v>Zafira Raysa Umar</v>
      </c>
      <c r="C47" s="30" t="str">
        <f>'LEGGER XII AKL'!C46</f>
        <v>0073130066</v>
      </c>
      <c r="D47" s="37" t="s">
        <v>77</v>
      </c>
      <c r="E47" s="17" t="s">
        <v>77</v>
      </c>
      <c r="F47" s="17" t="s">
        <v>77</v>
      </c>
      <c r="G47" s="32" t="s">
        <v>77</v>
      </c>
      <c r="H47" s="34" t="s">
        <v>77</v>
      </c>
      <c r="I47" s="17" t="s">
        <v>77</v>
      </c>
      <c r="J47" s="17" t="s">
        <v>77</v>
      </c>
      <c r="K47" s="42" t="s">
        <v>77</v>
      </c>
      <c r="L47" s="34" t="s">
        <v>77</v>
      </c>
      <c r="M47" s="17" t="s">
        <v>77</v>
      </c>
      <c r="N47" s="17" t="s">
        <v>77</v>
      </c>
      <c r="O47" s="42" t="s">
        <v>77</v>
      </c>
    </row>
    <row r="48" spans="1:15" x14ac:dyDescent="0.25">
      <c r="A48" s="20">
        <v>33</v>
      </c>
      <c r="B48" s="29">
        <f>'LEGGER XII AKL'!B47</f>
        <v>0</v>
      </c>
      <c r="C48" s="30">
        <f>'LEGGER XII AKL'!C47</f>
        <v>0</v>
      </c>
      <c r="D48" s="37" t="s">
        <v>77</v>
      </c>
      <c r="E48" s="17" t="s">
        <v>77</v>
      </c>
      <c r="F48" s="17" t="s">
        <v>77</v>
      </c>
      <c r="G48" s="32" t="s">
        <v>77</v>
      </c>
      <c r="H48" s="34" t="s">
        <v>77</v>
      </c>
      <c r="I48" s="17" t="s">
        <v>77</v>
      </c>
      <c r="J48" s="17" t="s">
        <v>77</v>
      </c>
      <c r="K48" s="42" t="s">
        <v>77</v>
      </c>
      <c r="L48" s="34" t="s">
        <v>77</v>
      </c>
      <c r="M48" s="17" t="s">
        <v>77</v>
      </c>
      <c r="N48" s="17" t="s">
        <v>77</v>
      </c>
      <c r="O48" s="42" t="s">
        <v>77</v>
      </c>
    </row>
    <row r="49" spans="1:15" x14ac:dyDescent="0.25">
      <c r="A49" s="20">
        <v>34</v>
      </c>
      <c r="B49" s="29">
        <f>'LEGGER XII AKL'!B48</f>
        <v>0</v>
      </c>
      <c r="C49" s="30">
        <f>'LEGGER XII AKL'!C48</f>
        <v>0</v>
      </c>
      <c r="D49" s="37" t="s">
        <v>77</v>
      </c>
      <c r="E49" s="17" t="s">
        <v>77</v>
      </c>
      <c r="F49" s="17" t="s">
        <v>77</v>
      </c>
      <c r="G49" s="32" t="s">
        <v>77</v>
      </c>
      <c r="H49" s="34" t="s">
        <v>77</v>
      </c>
      <c r="I49" s="17" t="s">
        <v>77</v>
      </c>
      <c r="J49" s="17" t="s">
        <v>77</v>
      </c>
      <c r="K49" s="42" t="s">
        <v>77</v>
      </c>
      <c r="L49" s="34" t="s">
        <v>77</v>
      </c>
      <c r="M49" s="17" t="s">
        <v>77</v>
      </c>
      <c r="N49" s="17" t="s">
        <v>77</v>
      </c>
      <c r="O49" s="42" t="s">
        <v>77</v>
      </c>
    </row>
    <row r="50" spans="1:15" x14ac:dyDescent="0.25">
      <c r="A50" s="20">
        <v>35</v>
      </c>
      <c r="B50" s="29">
        <f>'LEGGER XII AKL'!B49</f>
        <v>0</v>
      </c>
      <c r="C50" s="30">
        <f>'LEGGER XII AKL'!C49</f>
        <v>0</v>
      </c>
      <c r="D50" s="37" t="s">
        <v>77</v>
      </c>
      <c r="E50" s="17" t="s">
        <v>77</v>
      </c>
      <c r="F50" s="17" t="s">
        <v>77</v>
      </c>
      <c r="G50" s="32" t="s">
        <v>77</v>
      </c>
      <c r="H50" s="34" t="s">
        <v>77</v>
      </c>
      <c r="I50" s="17" t="s">
        <v>77</v>
      </c>
      <c r="J50" s="17" t="s">
        <v>77</v>
      </c>
      <c r="K50" s="42" t="s">
        <v>77</v>
      </c>
      <c r="L50" s="34" t="s">
        <v>77</v>
      </c>
      <c r="M50" s="17" t="s">
        <v>77</v>
      </c>
      <c r="N50" s="17" t="s">
        <v>77</v>
      </c>
      <c r="O50" s="42" t="s">
        <v>77</v>
      </c>
    </row>
    <row r="51" spans="1:15" x14ac:dyDescent="0.25">
      <c r="A51" s="20">
        <v>36</v>
      </c>
      <c r="B51" s="29">
        <f>'LEGGER XII AKL'!B50</f>
        <v>0</v>
      </c>
      <c r="C51" s="30">
        <f>'LEGGER XII AKL'!C50</f>
        <v>0</v>
      </c>
      <c r="D51" s="37" t="s">
        <v>77</v>
      </c>
      <c r="E51" s="17" t="s">
        <v>77</v>
      </c>
      <c r="F51" s="17" t="s">
        <v>77</v>
      </c>
      <c r="G51" s="32" t="s">
        <v>77</v>
      </c>
      <c r="H51" s="34" t="s">
        <v>77</v>
      </c>
      <c r="I51" s="17" t="s">
        <v>77</v>
      </c>
      <c r="J51" s="17" t="s">
        <v>77</v>
      </c>
      <c r="K51" s="42" t="s">
        <v>77</v>
      </c>
      <c r="L51" s="34" t="s">
        <v>77</v>
      </c>
      <c r="M51" s="17" t="s">
        <v>77</v>
      </c>
      <c r="N51" s="17" t="s">
        <v>77</v>
      </c>
      <c r="O51" s="42" t="s">
        <v>77</v>
      </c>
    </row>
    <row r="52" spans="1:15" x14ac:dyDescent="0.25">
      <c r="A52" s="20">
        <v>37</v>
      </c>
      <c r="B52" s="29">
        <f>'LEGGER XII AKL'!B51</f>
        <v>0</v>
      </c>
      <c r="C52" s="30">
        <f>'LEGGER XII AKL'!C51</f>
        <v>0</v>
      </c>
      <c r="D52" s="37" t="s">
        <v>77</v>
      </c>
      <c r="E52" s="17" t="s">
        <v>77</v>
      </c>
      <c r="F52" s="17" t="s">
        <v>77</v>
      </c>
      <c r="G52" s="32" t="s">
        <v>77</v>
      </c>
      <c r="H52" s="34" t="s">
        <v>77</v>
      </c>
      <c r="I52" s="17" t="s">
        <v>77</v>
      </c>
      <c r="J52" s="17" t="s">
        <v>77</v>
      </c>
      <c r="K52" s="42" t="s">
        <v>77</v>
      </c>
      <c r="L52" s="34" t="s">
        <v>77</v>
      </c>
      <c r="M52" s="17" t="s">
        <v>77</v>
      </c>
      <c r="N52" s="17" t="s">
        <v>77</v>
      </c>
      <c r="O52" s="42" t="s">
        <v>77</v>
      </c>
    </row>
    <row r="53" spans="1:15" x14ac:dyDescent="0.25">
      <c r="A53" s="20">
        <v>38</v>
      </c>
      <c r="B53" s="29">
        <f>'LEGGER XII AKL'!B52</f>
        <v>0</v>
      </c>
      <c r="C53" s="30">
        <f>'LEGGER XII AKL'!C52</f>
        <v>0</v>
      </c>
      <c r="D53" s="37" t="s">
        <v>77</v>
      </c>
      <c r="E53" s="17" t="s">
        <v>77</v>
      </c>
      <c r="F53" s="17" t="s">
        <v>77</v>
      </c>
      <c r="G53" s="32" t="s">
        <v>77</v>
      </c>
      <c r="H53" s="34" t="s">
        <v>77</v>
      </c>
      <c r="I53" s="17" t="s">
        <v>77</v>
      </c>
      <c r="J53" s="17" t="s">
        <v>77</v>
      </c>
      <c r="K53" s="42" t="s">
        <v>77</v>
      </c>
      <c r="L53" s="34" t="s">
        <v>77</v>
      </c>
      <c r="M53" s="17" t="s">
        <v>77</v>
      </c>
      <c r="N53" s="17" t="s">
        <v>77</v>
      </c>
      <c r="O53" s="42" t="s">
        <v>77</v>
      </c>
    </row>
    <row r="54" spans="1:15" x14ac:dyDescent="0.25">
      <c r="A54" s="20">
        <v>39</v>
      </c>
      <c r="B54" s="29">
        <f>'LEGGER XII AKL'!B53</f>
        <v>0</v>
      </c>
      <c r="C54" s="30">
        <f>'LEGGER XII AKL'!C53</f>
        <v>0</v>
      </c>
      <c r="D54" s="37" t="s">
        <v>77</v>
      </c>
      <c r="E54" s="17" t="s">
        <v>77</v>
      </c>
      <c r="F54" s="17" t="s">
        <v>77</v>
      </c>
      <c r="G54" s="32" t="s">
        <v>77</v>
      </c>
      <c r="H54" s="34" t="s">
        <v>77</v>
      </c>
      <c r="I54" s="17" t="s">
        <v>77</v>
      </c>
      <c r="J54" s="17" t="s">
        <v>77</v>
      </c>
      <c r="K54" s="42" t="s">
        <v>77</v>
      </c>
      <c r="L54" s="34" t="s">
        <v>77</v>
      </c>
      <c r="M54" s="17" t="s">
        <v>77</v>
      </c>
      <c r="N54" s="17" t="s">
        <v>77</v>
      </c>
      <c r="O54" s="42" t="s">
        <v>77</v>
      </c>
    </row>
    <row r="55" spans="1:15" ht="16.5" thickBot="1" x14ac:dyDescent="0.3">
      <c r="A55" s="22">
        <v>40</v>
      </c>
      <c r="B55" s="23">
        <f>'LEGGER XII AKL'!B54</f>
        <v>0</v>
      </c>
      <c r="C55" s="31">
        <f>'LEGGER XII AKL'!C54</f>
        <v>0</v>
      </c>
      <c r="D55" s="38" t="s">
        <v>77</v>
      </c>
      <c r="E55" s="39" t="s">
        <v>77</v>
      </c>
      <c r="F55" s="39" t="s">
        <v>77</v>
      </c>
      <c r="G55" s="33" t="s">
        <v>77</v>
      </c>
      <c r="H55" s="35" t="s">
        <v>77</v>
      </c>
      <c r="I55" s="39" t="s">
        <v>77</v>
      </c>
      <c r="J55" s="39" t="s">
        <v>77</v>
      </c>
      <c r="K55" s="43" t="s">
        <v>77</v>
      </c>
      <c r="L55" s="35" t="s">
        <v>77</v>
      </c>
      <c r="M55" s="39" t="s">
        <v>77</v>
      </c>
      <c r="N55" s="39" t="s">
        <v>77</v>
      </c>
      <c r="O55" s="43" t="s">
        <v>77</v>
      </c>
    </row>
  </sheetData>
  <mergeCells count="7">
    <mergeCell ref="D14:G14"/>
    <mergeCell ref="H14:K14"/>
    <mergeCell ref="L14:O14"/>
    <mergeCell ref="A13:A15"/>
    <mergeCell ref="B13:B15"/>
    <mergeCell ref="C13:C15"/>
    <mergeCell ref="D13:O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RAPORT XIIAKL </vt:lpstr>
      <vt:lpstr>LEGGER XII AKL</vt:lpstr>
      <vt:lpstr>CATATAN WALAS</vt:lpstr>
      <vt:lpstr>PKL</vt:lpstr>
      <vt:lpstr>EKSKUL</vt:lpstr>
      <vt:lpstr>DESKRIPSI</vt:lpstr>
      <vt:lpstr>PRESTASI</vt:lpstr>
      <vt:lpstr>'RAPORT XIIAKL '!Print_Area</vt:lpstr>
    </vt:vector>
  </TitlesOfParts>
  <Company>Office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Pengguna Pribadi</dc:creator>
  <cp:lastModifiedBy>Windows User</cp:lastModifiedBy>
  <cp:lastPrinted>2024-12-16T15:34:35Z</cp:lastPrinted>
  <dcterms:created xsi:type="dcterms:W3CDTF">2016-04-29T11:19:02Z</dcterms:created>
  <dcterms:modified xsi:type="dcterms:W3CDTF">2024-12-18T14:54:13Z</dcterms:modified>
</cp:coreProperties>
</file>